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Work-Webgeaz\.Personal Work\Tax Calculator\"/>
    </mc:Choice>
  </mc:AlternateContent>
  <xr:revisionPtr revIDLastSave="0" documentId="13_ncr:1_{F3AD4575-E168-461C-8679-6F4B538F4CB7}" xr6:coauthVersionLast="47" xr6:coauthVersionMax="47" xr10:uidLastSave="{00000000-0000-0000-0000-000000000000}"/>
  <bookViews>
    <workbookView xWindow="-120" yWindow="-120" windowWidth="29040" windowHeight="15720" tabRatio="500" firstSheet="4" activeTab="8" xr2:uid="{00000000-000D-0000-FFFF-FFFF00000000}"/>
  </bookViews>
  <sheets>
    <sheet name="Dashboard" sheetId="1" r:id="rId1"/>
    <sheet name="Salary Log" sheetId="2" r:id="rId2"/>
    <sheet name="Part-time Log" sheetId="3" r:id="rId3"/>
    <sheet name="Purchases" sheetId="4" r:id="rId4"/>
    <sheet name="File Links" sheetId="5" r:id="rId5"/>
    <sheet name="Tax Engine" sheetId="6" r:id="rId6"/>
    <sheet name="PCB Schedule" sheetId="7" r:id="rId7"/>
    <sheet name="e-Filing Guide (BE)" sheetId="8" r:id="rId8"/>
    <sheet name="My BE Form Values" sheetId="9" r:id="rId9"/>
    <sheet name="2025 vs 2026" sheetId="10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7" l="1"/>
  <c r="E16" i="7"/>
  <c r="G15" i="7"/>
  <c r="C15" i="7"/>
  <c r="B15" i="7"/>
  <c r="G14" i="7"/>
  <c r="C14" i="7"/>
  <c r="B14" i="7"/>
  <c r="G13" i="7"/>
  <c r="C13" i="7"/>
  <c r="B13" i="7"/>
  <c r="G12" i="7"/>
  <c r="C12" i="7"/>
  <c r="B12" i="7"/>
  <c r="G11" i="7"/>
  <c r="C11" i="7"/>
  <c r="B11" i="7"/>
  <c r="G10" i="7"/>
  <c r="C10" i="7"/>
  <c r="B10" i="7"/>
  <c r="G9" i="7"/>
  <c r="C9" i="7"/>
  <c r="B9" i="7"/>
  <c r="G8" i="7"/>
  <c r="F8" i="7"/>
  <c r="C8" i="7"/>
  <c r="B8" i="7"/>
  <c r="G7" i="7"/>
  <c r="F7" i="7"/>
  <c r="C7" i="7"/>
  <c r="B7" i="7"/>
  <c r="G6" i="7"/>
  <c r="F6" i="7"/>
  <c r="C6" i="7"/>
  <c r="B6" i="7"/>
  <c r="G5" i="7"/>
  <c r="F5" i="7"/>
  <c r="C5" i="7"/>
  <c r="B5" i="7"/>
  <c r="G4" i="7"/>
  <c r="F4" i="7"/>
  <c r="C4" i="7"/>
  <c r="D16" i="7" s="1"/>
  <c r="B4" i="7"/>
  <c r="C16" i="7" s="1"/>
  <c r="C52" i="4"/>
  <c r="E52" i="4" s="1"/>
  <c r="C51" i="4"/>
  <c r="E51" i="4" s="1"/>
  <c r="E50" i="4"/>
  <c r="D50" i="4"/>
  <c r="C50" i="4"/>
  <c r="E49" i="4"/>
  <c r="D49" i="4"/>
  <c r="C49" i="4"/>
  <c r="C48" i="4"/>
  <c r="E48" i="4" s="1"/>
  <c r="C47" i="4"/>
  <c r="E47" i="4" s="1"/>
  <c r="E46" i="4"/>
  <c r="D46" i="4"/>
  <c r="C46" i="4"/>
  <c r="E45" i="4"/>
  <c r="D45" i="4"/>
  <c r="C45" i="4"/>
  <c r="C44" i="4"/>
  <c r="E44" i="4" s="1"/>
  <c r="C43" i="4"/>
  <c r="E43" i="4" s="1"/>
  <c r="L4" i="4"/>
  <c r="C22" i="1" s="1"/>
  <c r="L3" i="4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E29" i="3"/>
  <c r="D7" i="1" s="1"/>
  <c r="I17" i="2"/>
  <c r="H17" i="2"/>
  <c r="C17" i="2"/>
  <c r="I16" i="2"/>
  <c r="F16" i="2"/>
  <c r="E16" i="2"/>
  <c r="D16" i="2"/>
  <c r="G16" i="2" s="1"/>
  <c r="I15" i="2"/>
  <c r="F15" i="2"/>
  <c r="E15" i="2"/>
  <c r="D15" i="2"/>
  <c r="G15" i="2" s="1"/>
  <c r="I14" i="2"/>
  <c r="F14" i="2"/>
  <c r="E14" i="2"/>
  <c r="D14" i="2"/>
  <c r="G14" i="2" s="1"/>
  <c r="I13" i="2"/>
  <c r="F13" i="2"/>
  <c r="E13" i="2"/>
  <c r="D13" i="2"/>
  <c r="G13" i="2" s="1"/>
  <c r="I12" i="2"/>
  <c r="F12" i="2"/>
  <c r="E12" i="2"/>
  <c r="D12" i="2"/>
  <c r="G12" i="2" s="1"/>
  <c r="I11" i="2"/>
  <c r="F11" i="2"/>
  <c r="E11" i="2"/>
  <c r="C18" i="6" s="1"/>
  <c r="D11" i="2"/>
  <c r="G11" i="2" s="1"/>
  <c r="I10" i="2"/>
  <c r="G10" i="2"/>
  <c r="F10" i="2"/>
  <c r="E10" i="2"/>
  <c r="D10" i="2"/>
  <c r="I9" i="2"/>
  <c r="F9" i="2"/>
  <c r="E9" i="2"/>
  <c r="D9" i="2"/>
  <c r="G9" i="2" s="1"/>
  <c r="I8" i="2"/>
  <c r="F8" i="2"/>
  <c r="E8" i="2"/>
  <c r="G8" i="2" s="1"/>
  <c r="D8" i="2"/>
  <c r="I7" i="2"/>
  <c r="F7" i="2"/>
  <c r="E7" i="2"/>
  <c r="D10" i="6" s="1"/>
  <c r="D7" i="2"/>
  <c r="D9" i="6" s="1"/>
  <c r="I6" i="2"/>
  <c r="F6" i="2"/>
  <c r="G6" i="2" s="1"/>
  <c r="E6" i="2"/>
  <c r="D6" i="2"/>
  <c r="I5" i="2"/>
  <c r="F5" i="2"/>
  <c r="F17" i="2" s="1"/>
  <c r="E5" i="2"/>
  <c r="D15" i="10" s="1"/>
  <c r="D5" i="2"/>
  <c r="G5" i="2" s="1"/>
  <c r="C21" i="1"/>
  <c r="B7" i="1"/>
  <c r="C35" i="6"/>
  <c r="C33" i="6"/>
  <c r="D30" i="6"/>
  <c r="B15" i="1" s="1"/>
  <c r="C30" i="6"/>
  <c r="E30" i="6" s="1"/>
  <c r="C28" i="6"/>
  <c r="D15" i="6"/>
  <c r="E15" i="6" s="1"/>
  <c r="C15" i="6"/>
  <c r="D7" i="6"/>
  <c r="D6" i="10" s="1"/>
  <c r="C7" i="6"/>
  <c r="D6" i="6"/>
  <c r="E6" i="6" s="1"/>
  <c r="C6" i="6"/>
  <c r="D5" i="6"/>
  <c r="E5" i="6" s="1"/>
  <c r="C5" i="6"/>
  <c r="C6" i="10" s="1"/>
  <c r="B17" i="9" l="1"/>
  <c r="C23" i="8"/>
  <c r="D21" i="6"/>
  <c r="B16" i="9"/>
  <c r="D17" i="6"/>
  <c r="D14" i="10"/>
  <c r="B15" i="9"/>
  <c r="C14" i="10"/>
  <c r="B14" i="9"/>
  <c r="C33" i="8"/>
  <c r="D16" i="6"/>
  <c r="C20" i="6"/>
  <c r="C21" i="6"/>
  <c r="B13" i="9"/>
  <c r="C32" i="8"/>
  <c r="D20" i="6"/>
  <c r="E20" i="6" s="1"/>
  <c r="C16" i="6"/>
  <c r="C23" i="6" s="1"/>
  <c r="C18" i="10" s="1"/>
  <c r="B12" i="9"/>
  <c r="C31" i="8"/>
  <c r="B11" i="9"/>
  <c r="C30" i="8"/>
  <c r="D19" i="6"/>
  <c r="C29" i="8"/>
  <c r="C22" i="6"/>
  <c r="C28" i="8"/>
  <c r="C19" i="6"/>
  <c r="C17" i="6"/>
  <c r="C13" i="10" s="1"/>
  <c r="C27" i="8"/>
  <c r="D22" i="6"/>
  <c r="E22" i="6" s="1"/>
  <c r="D17" i="10"/>
  <c r="B19" i="9"/>
  <c r="C26" i="8"/>
  <c r="C17" i="10"/>
  <c r="C25" i="8"/>
  <c r="B18" i="9"/>
  <c r="C8" i="10"/>
  <c r="D8" i="10"/>
  <c r="F7" i="1"/>
  <c r="B6" i="9"/>
  <c r="G7" i="2"/>
  <c r="G17" i="2" s="1"/>
  <c r="F9" i="1" s="1"/>
  <c r="D17" i="2"/>
  <c r="B9" i="1" s="1"/>
  <c r="D43" i="4"/>
  <c r="D47" i="4"/>
  <c r="D51" i="4"/>
  <c r="C10" i="6"/>
  <c r="E10" i="6" s="1"/>
  <c r="E17" i="2"/>
  <c r="D9" i="1" s="1"/>
  <c r="C9" i="6"/>
  <c r="D18" i="6"/>
  <c r="E18" i="6" s="1"/>
  <c r="D44" i="4"/>
  <c r="D48" i="4"/>
  <c r="D52" i="4"/>
  <c r="D11" i="6"/>
  <c r="C11" i="6"/>
  <c r="C14" i="8"/>
  <c r="C34" i="8"/>
  <c r="C15" i="10"/>
  <c r="E7" i="6"/>
  <c r="E17" i="6" l="1"/>
  <c r="D13" i="10"/>
  <c r="D23" i="6"/>
  <c r="E21" i="6"/>
  <c r="C17" i="8"/>
  <c r="C12" i="6"/>
  <c r="C13" i="6" s="1"/>
  <c r="D9" i="10"/>
  <c r="B7" i="9"/>
  <c r="C9" i="10"/>
  <c r="E16" i="6"/>
  <c r="E19" i="6"/>
  <c r="E9" i="6"/>
  <c r="E11" i="6"/>
  <c r="L2" i="4"/>
  <c r="C20" i="1" s="1"/>
  <c r="L1" i="4"/>
  <c r="C19" i="1" s="1"/>
  <c r="D12" i="6"/>
  <c r="B13" i="1" l="1"/>
  <c r="E23" i="6"/>
  <c r="D18" i="10"/>
  <c r="B20" i="9"/>
  <c r="C25" i="6"/>
  <c r="C10" i="10"/>
  <c r="E12" i="6"/>
  <c r="D13" i="6"/>
  <c r="D25" i="6" l="1"/>
  <c r="D10" i="10"/>
  <c r="B8" i="9"/>
  <c r="E13" i="6"/>
  <c r="C26" i="6"/>
  <c r="C20" i="10"/>
  <c r="D31" i="6" l="1"/>
  <c r="C31" i="6"/>
  <c r="C21" i="10"/>
  <c r="C27" i="6"/>
  <c r="C41" i="8"/>
  <c r="D26" i="6"/>
  <c r="E25" i="6"/>
  <c r="D20" i="10"/>
  <c r="B25" i="9"/>
  <c r="C42" i="8" l="1"/>
  <c r="E26" i="6"/>
  <c r="D21" i="10"/>
  <c r="E13" i="1"/>
  <c r="D28" i="6"/>
  <c r="B26" i="9"/>
  <c r="D27" i="6"/>
  <c r="E27" i="6" s="1"/>
  <c r="C34" i="6"/>
  <c r="C32" i="6"/>
  <c r="E31" i="6"/>
  <c r="D32" i="6"/>
  <c r="E10" i="7" l="1"/>
  <c r="E12" i="7"/>
  <c r="E14" i="7"/>
  <c r="E9" i="7"/>
  <c r="E11" i="7"/>
  <c r="E13" i="7"/>
  <c r="E32" i="6"/>
  <c r="E15" i="7"/>
  <c r="G16" i="7" s="1"/>
  <c r="C23" i="10"/>
  <c r="B32" i="9"/>
  <c r="E28" i="6"/>
  <c r="D33" i="6"/>
  <c r="D35" i="6" l="1"/>
  <c r="E35" i="6" s="1"/>
  <c r="E33" i="6"/>
  <c r="D34" i="6"/>
  <c r="F12" i="7"/>
  <c r="F14" i="7"/>
  <c r="F9" i="7"/>
  <c r="F16" i="7"/>
  <c r="F11" i="7"/>
  <c r="F13" i="7"/>
  <c r="F15" i="7"/>
  <c r="F10" i="7"/>
  <c r="D22" i="10" l="1"/>
  <c r="C22" i="10"/>
  <c r="B27" i="9"/>
  <c r="C43" i="8"/>
  <c r="D23" i="10"/>
  <c r="B34" i="9"/>
  <c r="B33" i="9"/>
  <c r="E34" i="6"/>
  <c r="E15" i="1"/>
  <c r="B28" i="9"/>
  <c r="C45" i="8"/>
</calcChain>
</file>

<file path=xl/sharedStrings.xml><?xml version="1.0" encoding="utf-8"?>
<sst xmlns="http://schemas.openxmlformats.org/spreadsheetml/2006/main" count="1012" uniqueCount="573">
  <si>
    <t>TAX ENGINE — AUTO CALCULATION (DO NOT EDIT)</t>
  </si>
  <si>
    <t>All values pull automatically from Salary Log, Part-time Log and Purchases sheets.</t>
  </si>
  <si>
    <t>Description</t>
  </si>
  <si>
    <t>Main Salary Only</t>
  </si>
  <si>
    <t>With Part-time</t>
  </si>
  <si>
    <t>Difference</t>
  </si>
  <si>
    <t>INCOME</t>
  </si>
  <si>
    <t>Total Gross Main Salary</t>
  </si>
  <si>
    <t>Part-time Income (Work)</t>
  </si>
  <si>
    <t>Total Gross Income</t>
  </si>
  <si>
    <t>DEDUCTIONS (Main Salary)</t>
  </si>
  <si>
    <t>EPF 11%</t>
  </si>
  <si>
    <t>SOCSO</t>
  </si>
  <si>
    <t>EIS</t>
  </si>
  <si>
    <t>Total Deductions</t>
  </si>
  <si>
    <t>Net Income</t>
  </si>
  <si>
    <t>RELIEFS</t>
  </si>
  <si>
    <t>Personal Relief</t>
  </si>
  <si>
    <t>Life Insurance</t>
  </si>
  <si>
    <t>Lifestyle (WiFi+Phone+Books+Sports)</t>
  </si>
  <si>
    <t>SOCSO Contribution</t>
  </si>
  <si>
    <t>Medical/Dental</t>
  </si>
  <si>
    <t>SSPN</t>
  </si>
  <si>
    <t>PRS</t>
  </si>
  <si>
    <t>Skills Course</t>
  </si>
  <si>
    <t>TOTAL RELIEFS</t>
  </si>
  <si>
    <t>CHARGEABLE INCOME &amp; TAX</t>
  </si>
  <si>
    <t>Chargeable Income</t>
  </si>
  <si>
    <t>Annual Tax</t>
  </si>
  <si>
    <t>Effective Tax Rate</t>
  </si>
  <si>
    <t>Extra Tax (Part-time)</t>
  </si>
  <si>
    <t>PCB &amp; PAYMENT</t>
  </si>
  <si>
    <t>PCB Paid Jan–May</t>
  </si>
  <si>
    <t>PCB Remaining (Jun–Dec)</t>
  </si>
  <si>
    <t>PCB per month (Jun–Dec)</t>
  </si>
  <si>
    <t>Part-time tax at e-Filing</t>
  </si>
  <si>
    <t>TOTAL DUE AT e-FILING</t>
  </si>
  <si>
    <t>Set aside per month</t>
  </si>
  <si>
    <t>⚠ DO NOT EDIT THIS SHEET — All cells are formula-driven. Add data in Salary Log, Part-time Log, and Purchases only.</t>
  </si>
  <si>
    <t>TAX TRACKER 2026 — IESKANDAR ZULQARNAIN BIN GHAZALI</t>
  </si>
  <si>
    <t>Assessment Year 2026 | Resident | Single (Bujang) | Auto-updated from all sheets</t>
  </si>
  <si>
    <t>INCOME SUMMARY</t>
  </si>
  <si>
    <t>TAX SUMMARY</t>
  </si>
  <si>
    <t>PURCHASES &amp; CLAIMS SUMMARY</t>
  </si>
  <si>
    <t>Tax Relief Purchases Total</t>
  </si>
  <si>
    <t>Work Expense Claims Total</t>
  </si>
  <si>
    <t>Reimbursements Received</t>
  </si>
  <si>
    <t>Outstanding Claims (not yet reimbursed)</t>
  </si>
  <si>
    <t>HOW TO USE THIS FILE</t>
  </si>
  <si>
    <t>Step 1 → Salary Log</t>
  </si>
  <si>
    <t>Paste your Maybank CSV rows here each month. EPF/SOCSO/EIS auto-calculated.</t>
  </si>
  <si>
    <t>Step 2 → Part-time Log</t>
  </si>
  <si>
    <t>Paste Bank Islam CSV rows. File auto-detects 1st &amp; 15th payments from Nuvera.</t>
  </si>
  <si>
    <t>Step 3 → Purchases</t>
  </si>
  <si>
    <t>Log every purchase here — tax relief items &amp; Nuvera work claims with receipt details.</t>
  </si>
  <si>
    <t>Step 4 → File Links</t>
  </si>
  <si>
    <t>Paste links to your uploaded PDF payslips, bank statements, receipts here.</t>
  </si>
  <si>
    <t>Step 5 → Tax Engine</t>
  </si>
  <si>
    <t>Auto-calculates your full year tax. Do not edit — all formulas pull from other sheets.</t>
  </si>
  <si>
    <t>Step 6 → PCB Schedule</t>
  </si>
  <si>
    <t>Shows your monthly PCB paid vs estimated. Updates when you add salary data.</t>
  </si>
  <si>
    <t>SALARY LOG — MAIN SALARY (Maybank)</t>
  </si>
  <si>
    <t>Paste your Maybank CSV transaction rows into columns A–B (Date, Amount). Other columns auto-calculate. Blue cells = manual input.</t>
  </si>
  <si>
    <t>HOW TO EXPORT: Maybank2U → Accounts → Transaction History → Download CSV → Copy rows where description contains "salary" or "gaji" → Paste into row 5 onwards</t>
  </si>
  <si>
    <t>Month</t>
  </si>
  <si>
    <t>Date Received</t>
  </si>
  <si>
    <t>Gross Salary (RM)</t>
  </si>
  <si>
    <t>EPF 11% (RM)</t>
  </si>
  <si>
    <t>SOCSO (RM)</t>
  </si>
  <si>
    <t>EIS (RM)</t>
  </si>
  <si>
    <t>Net Salary (RM)</t>
  </si>
  <si>
    <t>PCB Deducted (RM)</t>
  </si>
  <si>
    <t>PCB Cumulative (RM)</t>
  </si>
  <si>
    <t>Payslip Ref</t>
  </si>
  <si>
    <t>Source</t>
  </si>
  <si>
    <t>Notes</t>
  </si>
  <si>
    <t>Jan</t>
  </si>
  <si>
    <t>02/01/2026</t>
  </si>
  <si>
    <t>Payslip_Jan_2026</t>
  </si>
  <si>
    <t>Maybank CSV</t>
  </si>
  <si>
    <t>Confirmed</t>
  </si>
  <si>
    <t>Feb</t>
  </si>
  <si>
    <t>01/02/2026</t>
  </si>
  <si>
    <t>Payslip_Feb_2026</t>
  </si>
  <si>
    <t>Mar</t>
  </si>
  <si>
    <t>01/03/2026</t>
  </si>
  <si>
    <t>Payslip_Mar_2026</t>
  </si>
  <si>
    <t>Apr</t>
  </si>
  <si>
    <t>01/04/2026</t>
  </si>
  <si>
    <t>Payslip_Apr_2026</t>
  </si>
  <si>
    <t>May</t>
  </si>
  <si>
    <t>01/05/2026</t>
  </si>
  <si>
    <t>Payslip_May_2026</t>
  </si>
  <si>
    <t>Jun</t>
  </si>
  <si>
    <t>01/06/2026</t>
  </si>
  <si>
    <t>Payslip_Jun_2026</t>
  </si>
  <si>
    <t>Jul</t>
  </si>
  <si>
    <t>01/07/2026</t>
  </si>
  <si>
    <t>Payslip_Jul_2026</t>
  </si>
  <si>
    <t>Projected</t>
  </si>
  <si>
    <t>Update when received</t>
  </si>
  <si>
    <t>Aug</t>
  </si>
  <si>
    <t>01/08/2026</t>
  </si>
  <si>
    <t>Payslip_Aug_2026</t>
  </si>
  <si>
    <t>Sep</t>
  </si>
  <si>
    <t>01/09/2026</t>
  </si>
  <si>
    <t>Payslip_Sep_2026</t>
  </si>
  <si>
    <t>Oct</t>
  </si>
  <si>
    <t>01/10/2026</t>
  </si>
  <si>
    <t>Payslip_Oct_2026</t>
  </si>
  <si>
    <t>Nov</t>
  </si>
  <si>
    <t>01/11/2026</t>
  </si>
  <si>
    <t>Payslip_Nov_2026</t>
  </si>
  <si>
    <t>Dec</t>
  </si>
  <si>
    <t>01/12/2026</t>
  </si>
  <si>
    <t>Payslip_Dec_2026</t>
  </si>
  <si>
    <t>TOTAL / YTD</t>
  </si>
  <si>
    <t>MAYBANK CSV FORMAT GUIDE</t>
  </si>
  <si>
    <t>Maybank CSV columns:</t>
  </si>
  <si>
    <t>Date | Description | Amount | Balance</t>
  </si>
  <si>
    <t>Filter for salary:</t>
  </si>
  <si>
    <t>Look for rows where Description contains "GAJI", "SALARY", or your company name</t>
  </si>
  <si>
    <t>Paste here:</t>
  </si>
  <si>
    <t>Copy the Date into column B, Amount into column C for each month</t>
  </si>
  <si>
    <t>Yellow cells:</t>
  </si>
  <si>
    <t>Cells highlighted in yellow = you need to update these manually</t>
  </si>
  <si>
    <t>PCB column H:</t>
  </si>
  <si>
    <t>Enter the PCB amount from your payslip each month into column H</t>
  </si>
  <si>
    <t>PART-TIME INCOME LOG — NUVERA (Bank Islam)</t>
  </si>
  <si>
    <t>Payments received on 1st &amp; 15th of each month. Paste Bank Islam CSV rows. Blue = manual input.</t>
  </si>
  <si>
    <t>HOW TO EXPORT: Bank Islam app → Account → Statement → Export CSV → Filter rows from USAMA or AHMAD ASHRAF → Paste Date into col B, Amount into col E</t>
  </si>
  <si>
    <t>Date</t>
  </si>
  <si>
    <t>From (Sender)</t>
  </si>
  <si>
    <t>Description / Reference</t>
  </si>
  <si>
    <t>Amount (RM)</t>
  </si>
  <si>
    <t>Payment Slot</t>
  </si>
  <si>
    <t>Type</t>
  </si>
  <si>
    <t>Reimbursement?</t>
  </si>
  <si>
    <t>Ref / Receipt No</t>
  </si>
  <si>
    <t>Jan 2026</t>
  </si>
  <si>
    <t>Other account</t>
  </si>
  <si>
    <t>Part-time salary Jan</t>
  </si>
  <si>
    <t>1st</t>
  </si>
  <si>
    <t>Work</t>
  </si>
  <si>
    <t>No</t>
  </si>
  <si>
    <t>REF-JAN-01</t>
  </si>
  <si>
    <t>Separate account</t>
  </si>
  <si>
    <t>Ahmad Ashraf</t>
  </si>
  <si>
    <t>Elaun 1hb feb Programmer</t>
  </si>
  <si>
    <t>REF-FEB-01</t>
  </si>
  <si>
    <t>02/02/2026</t>
  </si>
  <si>
    <t>Elaun programmer Nuvera</t>
  </si>
  <si>
    <t>REF-FEB-02</t>
  </si>
  <si>
    <t>15/02/2026</t>
  </si>
  <si>
    <t>Usama bin Mazlin</t>
  </si>
  <si>
    <t>Elaun iskandar feb</t>
  </si>
  <si>
    <t>15th</t>
  </si>
  <si>
    <t>REF-FEB-15</t>
  </si>
  <si>
    <t>REF-MAR-01</t>
  </si>
  <si>
    <t>16/03/2026</t>
  </si>
  <si>
    <t>Elaun iskandar march</t>
  </si>
  <si>
    <t>REF-MAR-15</t>
  </si>
  <si>
    <t>Gaji iskandar 1april</t>
  </si>
  <si>
    <t>REF-APR-01</t>
  </si>
  <si>
    <t>16/04/2026</t>
  </si>
  <si>
    <t>Gaji april iskandar</t>
  </si>
  <si>
    <t>REF-APR-15</t>
  </si>
  <si>
    <t>02/05/2026</t>
  </si>
  <si>
    <t>Elaun nuvera</t>
  </si>
  <si>
    <t>REF-MAY-01</t>
  </si>
  <si>
    <t>16/05/2026</t>
  </si>
  <si>
    <t>May 15 salary</t>
  </si>
  <si>
    <t>REF-MAY-15</t>
  </si>
  <si>
    <t>Gaji may 2026</t>
  </si>
  <si>
    <t>REF-JUN-01</t>
  </si>
  <si>
    <t>TOTAL WORK INCOME</t>
  </si>
  <si>
    <t>MONTHLY SUMMARY — WORK INCOME ONLY</t>
  </si>
  <si>
    <t>payments</t>
  </si>
  <si>
    <t>PURCHASES &amp; CLAIMS TRACKER — TAX RELIEF + NUVERA WORK EXPENSES</t>
  </si>
  <si>
    <t>Tax Relief Total</t>
  </si>
  <si>
    <t>Log EVERY purchase here. Tax relief items reduce your tax. Work claims get reimbursed by boss.</t>
  </si>
  <si>
    <t>Work Claims Total</t>
  </si>
  <si>
    <t>Reimbursed Total</t>
  </si>
  <si>
    <t>Outstanding Claims</t>
  </si>
  <si>
    <t>Item Description</t>
  </si>
  <si>
    <t>Relief Category</t>
  </si>
  <si>
    <t>Receipt No.</t>
  </si>
  <si>
    <t>Status</t>
  </si>
  <si>
    <t>File Link / Path</t>
  </si>
  <si>
    <t>Relief Limit (RM)</t>
  </si>
  <si>
    <t>Claimable?</t>
  </si>
  <si>
    <t>01/01/2026</t>
  </si>
  <si>
    <t>WiFi Bill (Unifi)</t>
  </si>
  <si>
    <t>Tax Relief</t>
  </si>
  <si>
    <t>Lifestyle-WiFi</t>
  </si>
  <si>
    <t>RCPT-WIFI-JAN</t>
  </si>
  <si>
    <t>Claimed</t>
  </si>
  <si>
    <t>Monthly bill</t>
  </si>
  <si>
    <t>Yes</t>
  </si>
  <si>
    <t>RCPT-WIFI-FEB</t>
  </si>
  <si>
    <t>RCPT-WIFI-MAR</t>
  </si>
  <si>
    <t>RCPT-WIFI-APR</t>
  </si>
  <si>
    <t>RCPT-WIFI-MAY</t>
  </si>
  <si>
    <t>RCPT-WIFI-JUN</t>
  </si>
  <si>
    <t>Life Insurance Premium</t>
  </si>
  <si>
    <t>RCPT-INS-JAN</t>
  </si>
  <si>
    <t>Monthly premium</t>
  </si>
  <si>
    <t>Feb 2026</t>
  </si>
  <si>
    <t>RCPT-INS-FEB</t>
  </si>
  <si>
    <t>Mar 2026</t>
  </si>
  <si>
    <t>RCPT-INS-MAR</t>
  </si>
  <si>
    <t>Apr 2026</t>
  </si>
  <si>
    <t>RCPT-INS-APR</t>
  </si>
  <si>
    <t>May 2026</t>
  </si>
  <si>
    <t>RCPT-INS-MAY</t>
  </si>
  <si>
    <t>Jun 2026</t>
  </si>
  <si>
    <t>RCPT-INS-JUN</t>
  </si>
  <si>
    <t>RELIEF CATEGORY SUMMARY — AUTO-UPDATED</t>
  </si>
  <si>
    <t>Category</t>
  </si>
  <si>
    <t>Annual Limit (RM)</t>
  </si>
  <si>
    <t>Claimed So Far (RM)</t>
  </si>
  <si>
    <t>Remaining Room (RM)</t>
  </si>
  <si>
    <t>% Used</t>
  </si>
  <si>
    <t>Medical Insurance</t>
  </si>
  <si>
    <t>Lifestyle-Phone/Book/Gadget</t>
  </si>
  <si>
    <t>Lifestyle-Sports/Gym</t>
  </si>
  <si>
    <t>Medical/Dental/Checkup</t>
  </si>
  <si>
    <t>FILE LINKS — PAYSLIPS, BANK STATEMENTS &amp; RECEIPTS</t>
  </si>
  <si>
    <t>Upload your files to Google Drive / OneDrive / any cloud storage → paste the share link into column F</t>
  </si>
  <si>
    <t>TIP: Google Drive → Right-click file → Share → Copy link → Paste in column F. Or use OneDrive / Dropbox. Keep files organised in folders by month.</t>
  </si>
  <si>
    <t>Year</t>
  </si>
  <si>
    <t>Document Type</t>
  </si>
  <si>
    <t>File Name / Description</t>
  </si>
  <si>
    <t>File Format</t>
  </si>
  <si>
    <t>Link / Path</t>
  </si>
  <si>
    <t>Upload Status</t>
  </si>
  <si>
    <t>2026</t>
  </si>
  <si>
    <t>Payslip</t>
  </si>
  <si>
    <t>Payslip_Jan_2026 — Main Salary (Maybank)</t>
  </si>
  <si>
    <t>PDF</t>
  </si>
  <si>
    <t>Paste link here</t>
  </si>
  <si>
    <t>Pending</t>
  </si>
  <si>
    <t>Bank Statement</t>
  </si>
  <si>
    <t>Bank_Islam_Statement_Jan_2026 — Part-time</t>
  </si>
  <si>
    <t>CSV/PDF</t>
  </si>
  <si>
    <t>Payslip_Feb_2026 — Main Salary (Maybank)</t>
  </si>
  <si>
    <t>Bank_Islam_Statement_Feb_2026 — Part-time</t>
  </si>
  <si>
    <t>Payslip_Mar_2026 — Main Salary (Maybank)</t>
  </si>
  <si>
    <t>Bank_Islam_Statement_Mar_2026 — Part-time</t>
  </si>
  <si>
    <t>Payslip_Apr_2026 — Main Salary (Maybank)</t>
  </si>
  <si>
    <t>Bank_Islam_Statement_Apr_2026 — Part-time</t>
  </si>
  <si>
    <t>Payslip_May_2026 — Main Salary (Maybank)</t>
  </si>
  <si>
    <t>Bank_Islam_Statement_May_2026 — Part-time</t>
  </si>
  <si>
    <t>Payslip_Jun_2026 — Main Salary (Maybank)</t>
  </si>
  <si>
    <t>Bank_Islam_Statement_Jun_2026 — Part-time</t>
  </si>
  <si>
    <t>Payslip_Jul_2026 — Main Salary (Maybank)</t>
  </si>
  <si>
    <t>Bank_Islam_Statement_Jul_2026 — Part-time</t>
  </si>
  <si>
    <t>Payslip_Aug_2026 — Main Salary (Maybank)</t>
  </si>
  <si>
    <t>Bank_Islam_Statement_Aug_2026 — Part-time</t>
  </si>
  <si>
    <t>Payslip_Sep_2026 — Main Salary (Maybank)</t>
  </si>
  <si>
    <t>Bank_Islam_Statement_Sep_2026 — Part-time</t>
  </si>
  <si>
    <t>Payslip_Oct_2026 — Main Salary (Maybank)</t>
  </si>
  <si>
    <t>Bank_Islam_Statement_Oct_2026 — Part-time</t>
  </si>
  <si>
    <t>Payslip_Nov_2026 — Main Salary (Maybank)</t>
  </si>
  <si>
    <t>Bank_Islam_Statement_Nov_2026 — Part-time</t>
  </si>
  <si>
    <t>Payslip_Dec_2026 — Main Salary (Maybank)</t>
  </si>
  <si>
    <t>Bank_Islam_Statement_Dec_2026 — Part-time</t>
  </si>
  <si>
    <t>Receipt</t>
  </si>
  <si>
    <t>Insurance Premium Jan 2026</t>
  </si>
  <si>
    <t>WiFi Bill Jan 2026</t>
  </si>
  <si>
    <t>ALL</t>
  </si>
  <si>
    <t>Tax Document</t>
  </si>
  <si>
    <t>BE Form 2026 (e-Filing)</t>
  </si>
  <si>
    <t>MyTax PCB Statement 2026</t>
  </si>
  <si>
    <t>PCB MONTHLY SCHEDULE — 2026</t>
  </si>
  <si>
    <t>Actual paid (Jan–May confirmed) vs estimated remaining (Jun–Dec). Updates automatically.</t>
  </si>
  <si>
    <t>Gross Salary</t>
  </si>
  <si>
    <t>Part-time</t>
  </si>
  <si>
    <t>PCB Actual (RM)</t>
  </si>
  <si>
    <t>PCB Est. (RM)</t>
  </si>
  <si>
    <t>Cumulative (RM)</t>
  </si>
  <si>
    <t>Main Tax YTD</t>
  </si>
  <si>
    <t>Paid</t>
  </si>
  <si>
    <t>Confirmed via MyTax</t>
  </si>
  <si>
    <t>Next →</t>
  </si>
  <si>
    <t>Update when paid</t>
  </si>
  <si>
    <t>Upcoming</t>
  </si>
  <si>
    <t>TOTAL</t>
  </si>
  <si>
    <t>e-FILING GUIDE — BORANG BE 2026  |  Deadline: 30 April 2027  |  mytax.hasil.gov.my</t>
  </si>
  <si>
    <t>Based on your actual Borang BE 2025 form. Yellow = enter this value. Green = auto-calculated by LHDN.</t>
  </si>
  <si>
    <t>Field (Borang BE)</t>
  </si>
  <si>
    <t>Description / What to Enter</t>
  </si>
  <si>
    <t>Your Value (RM)</t>
  </si>
  <si>
    <t>Where to Find / Tip</t>
  </si>
  <si>
    <t>STEP 1 — BEFORE YOU START</t>
  </si>
  <si>
    <t>Login to MyTax</t>
  </si>
  <si>
    <t>Go to mytax.hasil.gov.my → Login with MyTax ID or IC number (011209030803)</t>
  </si>
  <si>
    <t>mytax.hasil.gov.my</t>
  </si>
  <si>
    <t>Use Chrome or Edge. Avoid mobile browser for filing.</t>
  </si>
  <si>
    <t>Select e-BE form</t>
  </si>
  <si>
    <t>Dashboard → e-Filing → e-BE → Year 2026 (NOT 2025)</t>
  </si>
  <si>
    <t>Select 2026</t>
  </si>
  <si>
    <t>⚠ Make sure year is 2026 — easy mistake to select wrong year</t>
  </si>
  <si>
    <t>Check pre-filled data</t>
  </si>
  <si>
    <t>LHDN pre-fills salary from PCB records. Verify it matches your payslips.</t>
  </si>
  <si>
    <t>Check vs Salary Log</t>
  </si>
  <si>
    <t>If LHDN figure differs from yours, use YOUR correct figure</t>
  </si>
  <si>
    <t>Have these ready</t>
  </si>
  <si>
    <t>Payslips (all 12), Bank Islam statement, insurance cert, WiFi bills, phone receipt</t>
  </si>
  <si>
    <t>See File Links sheet</t>
  </si>
  <si>
    <t>Keep receipts 7 years — LHDN can audit anytime</t>
  </si>
  <si>
    <t>BAHAGIAN A — MAKLUMAT INDIVIDU (Personal Information)</t>
  </si>
  <si>
    <t>Nama / IC</t>
  </si>
  <si>
    <t>IESKANDAR ZULQARNAIN BIN GHAZALI | IC: 011209030803</t>
  </si>
  <si>
    <t>Pre-filled by LHDN</t>
  </si>
  <si>
    <t>Verify spelling is correct</t>
  </si>
  <si>
    <t>Status Perkahwinan</t>
  </si>
  <si>
    <t>BUJANG — single, no spouse claiming relief</t>
  </si>
  <si>
    <t>Bujang</t>
  </si>
  <si>
    <t>Your 2025 form confirms this status</t>
  </si>
  <si>
    <t>Kategori</t>
  </si>
  <si>
    <t>Pemastautin (Resident) — you are Malaysian resident</t>
  </si>
  <si>
    <t>Pemastautin</t>
  </si>
  <si>
    <t>Correct — you qualify for all resident reliefs</t>
  </si>
  <si>
    <t>BAHAGIAN B — PENDAPATAN (Income)</t>
  </si>
  <si>
    <t>B1 — Penggajian (Gaji Pokok)</t>
  </si>
  <si>
    <t>Enter TOTAL employment income: main salary PLUS part-time income combined. Both count as "penggajian".</t>
  </si>
  <si>
    <t>Main + part-time gross combined. Do NOT separate into different fields.</t>
  </si>
  <si>
    <t>B1a — Elaun/Perkuisit</t>
  </si>
  <si>
    <t>Allowances paid by employer. If your RM500 allowance is included in gross already, leave 0.</t>
  </si>
  <si>
    <t>0</t>
  </si>
  <si>
    <t>Check payslip — if allowance already in B1 gross figure, do not double-count</t>
  </si>
  <si>
    <t>B5 — Pendapatan Agregat</t>
  </si>
  <si>
    <t>LHDN auto-calculates total income. Just verify the number.</t>
  </si>
  <si>
    <t>Auto by LHDN</t>
  </si>
  <si>
    <t>Should equal your B1 + any other income</t>
  </si>
  <si>
    <t>B6 — Caruman KWSP</t>
  </si>
  <si>
    <t>Total EPF deducted from main salary ALL 12 months. Part-time has no EPF.</t>
  </si>
  <si>
    <t>From Salary Log — sum of column D. DO NOT include part-time EPF (none deducted)</t>
  </si>
  <si>
    <t>B7 — Pendapatan Berkanun</t>
  </si>
  <si>
    <t>Statutory income = B5 minus B6 (EPF). LHDN auto-calculates.</t>
  </si>
  <si>
    <t>Verify = Tax Engine D13</t>
  </si>
  <si>
    <t>BAHAGIAN C — PELEPASAN CUKAI (Tax Reliefs) — From your actual 2025 Borang BE fields</t>
  </si>
  <si>
    <t>Individu dan saudara tanggungan</t>
  </si>
  <si>
    <t>Personal relief RM9,000. Pre-filled automatically. Do NOT change.</t>
  </si>
  <si>
    <t>9,000.00</t>
  </si>
  <si>
    <t>Auto-filled. Just verify it shows RM9,000.</t>
  </si>
  <si>
    <t>Perbelanjaan ibu bapa — Rawatan perubatan, pergigian, penjaga</t>
  </si>
  <si>
    <t>Medical expenses for parents. Leave 0 — you have no dependent parents claimed.</t>
  </si>
  <si>
    <t>Only claim if you paid for parents' medical bills</t>
  </si>
  <si>
    <t>Perbelanjaan ibu bapa — Pemeriksaan perubatan penuh + pemvaksinan (Terhad RM1,000)</t>
  </si>
  <si>
    <t>Full medical checkup for parents. Leave 0 unless you paid for parents.</t>
  </si>
  <si>
    <t>JUMLAH for parents capped at RM8,000 total</t>
  </si>
  <si>
    <t>Yuran pengajian (Sendiri) — Kursus kemahiran (Terhad RM2,000)</t>
  </si>
  <si>
    <t>Skills/upskilling courses you paid for yourself (Udemy, certs, etc). Under RM7,000 total limit.</t>
  </si>
  <si>
    <t>From Purchases sheet — Skills Course category. Limit RM7,000 total for all yuran pengajian.</t>
  </si>
  <si>
    <t>Perbelanjaan perubatan — Penyakit serius (diri/pasangan/anak)</t>
  </si>
  <si>
    <t>Serious illness treatment costs. Leave 0 unless you had serious illness treatment.</t>
  </si>
  <si>
    <t>JUMLAH for all medical expenses capped at RM10,000</t>
  </si>
  <si>
    <t>Perbelanjaan perubatan — Pemvaksinan (diri/pasangan/anak, Terhad RM1,000)</t>
  </si>
  <si>
    <t>Vaccination costs for yourself. Claim if you got any vaccines in 2026.</t>
  </si>
  <si>
    <t>Estimate — update if you have separate vaccination receipts. Limit RM1,000.</t>
  </si>
  <si>
    <t>Perbelanjaan perubatan — Pergigian (diri/pasangan/anak, Terhad RM1,000)</t>
  </si>
  <si>
    <t>Dental treatment costs for yourself. Claim any dental visits in 2026.</t>
  </si>
  <si>
    <t>Estimate — update with actual dental receipt amount. Limit RM1,000.</t>
  </si>
  <si>
    <t>Perbelanjaan perubatan — Pemeriksaan perubatan penuh / ujian / kesihatan mental (Terhad RM1,000)</t>
  </si>
  <si>
    <t>Full medical checkup, disease detection tests, mental health consultation for yourself.</t>
  </si>
  <si>
    <t>From Purchases sheet. Includes checkup + self-test equipment. Limit RM1,000.</t>
  </si>
  <si>
    <t>Gaya hidup — Terhad RM2,500</t>
  </si>
  <si>
    <t>WiFi bills + phone/gadget purchase + books + sports equipment + gym fees. SHARED RM2,500 limit.</t>
  </si>
  <si>
    <t>Your WiFi RM1,132 + Phone claim RM1,368 = RM2,500 MAXED. Includes books, gadgets, gym under same limit.</t>
  </si>
  <si>
    <t>Gaya hidup tambahan — Sukan (Terhad RM1,000)</t>
  </si>
  <si>
    <t>ADDITIONAL sports relief — gym membership, sports equipment, competition entry fees.</t>
  </si>
  <si>
    <t>This is SEPARATE from the RM2,500 lifestyle limit above. Sports gets an extra RM1,000 on top!</t>
  </si>
  <si>
    <t>Tabungan bersih SSPN (Terhad RM8,000)</t>
  </si>
  <si>
    <t>Net savings deposited into SSPN Prima account in 2026. Open account at sspn.com.my</t>
  </si>
  <si>
    <t>Currently RM0 — consider opening SSPN to claim up to RM8,000 relief. High impact!</t>
  </si>
  <si>
    <t>Insurans nyawa + KWSP Sukarela (Terhad RM3,000 insurans, RM4,000 KWSP)</t>
  </si>
  <si>
    <t>Life insurance premiums (RM30/month) + any voluntary EPF top-up. JUMLAH limit RM7,000.</t>
  </si>
  <si>
    <t>Your RM360/year life insurance. Voluntary EPF (i-Saraan) also goes here if applicable.</t>
  </si>
  <si>
    <t>Skim persaraan swasta / PRS (Terhad RM3,000)</t>
  </si>
  <si>
    <t>Contributions to Private Retirement Scheme (PRS) funds — Public Mutual, Kenanga, etc.</t>
  </si>
  <si>
    <t>Currently RM0 — consider PRS to save RM90–150 in tax + build retirement fund.</t>
  </si>
  <si>
    <t>Insurans pendidikan dan perubatan (Terhad RM4,000)</t>
  </si>
  <si>
    <t>Medical card or education insurance premiums. SEPARATE limit from life insurance above.</t>
  </si>
  <si>
    <t>Currently RM0 — upgrading insurance to include medical card gives RM4,000 extra relief!</t>
  </si>
  <si>
    <t>Caruman PERKESO/SOCSO (Terhad RM350)</t>
  </si>
  <si>
    <t>Total SOCSO + EIS deducted from your main salary payslips. Already paid — just claim it.</t>
  </si>
  <si>
    <t>Your 2025 form shows RM181 — 2026 will be similar ~RM237. Check your payslips.</t>
  </si>
  <si>
    <t>Faedah pinjaman rumah pertama</t>
  </si>
  <si>
    <t>Interest paid on first home loan. Leave 0 — you have no home loan.</t>
  </si>
  <si>
    <t>Only applicable if you own a house with a mortgage</t>
  </si>
  <si>
    <t>REBAT / TOLAKAN CUKAI (Rebates &amp; Tax Deductions)</t>
  </si>
  <si>
    <t>Zakat dan Fitrah</t>
  </si>
  <si>
    <t>If you paid zakat or fitrah in 2026, enter total amount here. Acts as direct tax rebate.</t>
  </si>
  <si>
    <t>Enter actual zakat paid — reduces your tax RM for RM (not just relief). Very powerful!</t>
  </si>
  <si>
    <t>Levi Umrah (Terhad 2 kali seumur hidup)</t>
  </si>
  <si>
    <t>Levy paid for umrah trip or religious pilgrimage. Terhad 2 kali seumur hidup.</t>
  </si>
  <si>
    <t>Only if you went for umrah in 2026</t>
  </si>
  <si>
    <t>Tolakan cukai Seksyen 110</t>
  </si>
  <si>
    <t>Foreign tax credit. Leave 0 — only if you paid tax overseas.</t>
  </si>
  <si>
    <t>Not applicable for your situation</t>
  </si>
  <si>
    <t>BAHAGIAN D — CUKAI &amp; BAYARAN (Tax Calculation &amp; Payment)</t>
  </si>
  <si>
    <t>Pendapatan Bercukai</t>
  </si>
  <si>
    <t>Chargeable income = statutory income minus all reliefs. Auto by LHDN.</t>
  </si>
  <si>
    <t>Verify this matches Tax Engine sheet D25</t>
  </si>
  <si>
    <t>Cukai atas Pendapatan Bercukai</t>
  </si>
  <si>
    <t>Tax calculated by LHDN on your chargeable income using progressive bands.</t>
  </si>
  <si>
    <t>Verify this matches Tax Engine sheet D26</t>
  </si>
  <si>
    <t>Tolak: Potongan Cukai Bulanan (PCB)</t>
  </si>
  <si>
    <t>Total PCB deducted by employer Jan–Dec 2026. Pull from MyTax ledger for exact figure.</t>
  </si>
  <si>
    <t>Login MyTax → Cukai Pendapatan → Ledger to get exact total</t>
  </si>
  <si>
    <t>Tolak: Zakat</t>
  </si>
  <si>
    <t>Zakat amount from rebate section above. Direct deduction from tax.</t>
  </si>
  <si>
    <t>Enter if you paid zakat</t>
  </si>
  <si>
    <t>BAKI CUKAI KENA DIBAYAR (balance to pay)</t>
  </si>
  <si>
    <t>If POSITIVE → you owe this to LHDN. Pay by 30 April 2027. If NEGATIVE → LHDN refunds you.</t>
  </si>
  <si>
    <t>⚠ Your 2025 balance was RM52.43. 2026 will differ based on part-time income.</t>
  </si>
  <si>
    <t>HOW TO PAY — CARA BAYARAN</t>
  </si>
  <si>
    <t>FPX (Recommended)</t>
  </si>
  <si>
    <t>MyTax → e-Bayaran → FPX → Maybank2U or Bank Islam → Pay instantly</t>
  </si>
  <si>
    <t>Fastest. Instant confirmation. Available 24/7.</t>
  </si>
  <si>
    <t>JomPAY</t>
  </si>
  <si>
    <t>Any banking app → JomPAY → Biller Code: 30001 → Reference: your IC number</t>
  </si>
  <si>
    <t>Biller: 30001 | Ref: IC no.</t>
  </si>
  <si>
    <t>Works on all Malaysian banking apps including Maybank &amp; Bank Islam</t>
  </si>
  <si>
    <t>Deadline</t>
  </si>
  <si>
    <t>Borang BE (no business income) must be SUBMITTED and PAID by this date.</t>
  </si>
  <si>
    <t>30 April 2027</t>
  </si>
  <si>
    <t>⚠ RM200 minimum penalty for late filing under Section 112(1) ITA 1967</t>
  </si>
  <si>
    <t>After payment</t>
  </si>
  <si>
    <t>Download payment receipt PDF from MyTax. Save to File Links sheet.</t>
  </si>
  <si>
    <t>Save to File Links sheet</t>
  </si>
  <si>
    <t>Keep receipt permanently — proof of compliance</t>
  </si>
  <si>
    <t>PRE-SUBMISSION CHECKLIST — Tick before clicking Submit</t>
  </si>
  <si>
    <t>☐  Both income sources declared</t>
  </si>
  <si>
    <t>Main salary + Nuvera part-time both in B1</t>
  </si>
  <si>
    <t>Mandatory</t>
  </si>
  <si>
    <t>⚠ Part-time MUST be declared regardless of payment method</t>
  </si>
  <si>
    <t>☐  EPF amount correct</t>
  </si>
  <si>
    <t>Sum of EPF from all 12 payslips entered in B6</t>
  </si>
  <si>
    <t>From Salary Log col D</t>
  </si>
  <si>
    <t>Use TOTAL row in Salary Log sheet</t>
  </si>
  <si>
    <t>☐  All reliefs claimed</t>
  </si>
  <si>
    <t>SOCSO, lifestyle, insurance, medical entered</t>
  </si>
  <si>
    <t>All C fields complete</t>
  </si>
  <si>
    <t>Do not skip any — each one saves you money</t>
  </si>
  <si>
    <t>☐  PCB total verified</t>
  </si>
  <si>
    <t>Matches exact figure from MyTax ledger</t>
  </si>
  <si>
    <t>Login MyTax to verify</t>
  </si>
  <si>
    <t>Your confirmed total so far: RM627.45 + Jun–Dec</t>
  </si>
  <si>
    <t>☐  Receipts filed</t>
  </si>
  <si>
    <t>WiFi bills, insurance cert, phone receipt saved</t>
  </si>
  <si>
    <t>File Links sheet</t>
  </si>
  <si>
    <t>Do not upload — just keep for 7 years in case of audit</t>
  </si>
  <si>
    <t>☐  Bank account correct</t>
  </si>
  <si>
    <t>Your bank account in MyTax is current — for any refund</t>
  </si>
  <si>
    <t>MyTax profile settings</t>
  </si>
  <si>
    <t>Wrong account = refund cheque mailed = slow process</t>
  </si>
  <si>
    <t>☐  Review all figures</t>
  </si>
  <si>
    <t>Read through everything before hitting Submit</t>
  </si>
  <si>
    <t>Cannot undo after submit</t>
  </si>
  <si>
    <t>⚠ Once submitted, amendments need formal appeal</t>
  </si>
  <si>
    <t>☐  Download acknowledgement</t>
  </si>
  <si>
    <t>Save the PDF receipt after submitting</t>
  </si>
  <si>
    <t>Keep permanently</t>
  </si>
  <si>
    <t>This is your legal proof of filing</t>
  </si>
  <si>
    <t>MY BORANG BE 2026 — ACTUAL FIELD VALUES  |  Print and refer when filing at mytax.hasil.gov.my</t>
  </si>
  <si>
    <t>Values auto-calculated from your tracker. Update Salary Log &amp; Purchases first for accuracy.</t>
  </si>
  <si>
    <t>IMPORTANT: Your 2025 Borang BE balance was RM52.43. For 2026, the balance will be higher if you declare part-time income from Nuvera. All values below are estimates — verify against MyTax ledger before submitting.</t>
  </si>
  <si>
    <t>Borang BE Field (Exact Label)</t>
  </si>
  <si>
    <t>Limit / Notes</t>
  </si>
  <si>
    <t>B1 — Penggajian (Main + Part-time combined)</t>
  </si>
  <si>
    <t>Include BOTH main salary and Nuvera income here</t>
  </si>
  <si>
    <t>B6 — Caruman KWSP (EPF main salary only)</t>
  </si>
  <si>
    <t>EPF from main salary only — part-time has no EPF</t>
  </si>
  <si>
    <t>B7 — Pendapatan Berkanun (Statutory Income)</t>
  </si>
  <si>
    <t>Auto: B1 minus B6 (EPF). Verify with LHDN.</t>
  </si>
  <si>
    <t>Auto</t>
  </si>
  <si>
    <t>BAHAGIAN C — PELEPASAN (Tax Reliefs)</t>
  </si>
  <si>
    <t>RM9,000 — automatic, pre-filled</t>
  </si>
  <si>
    <t>Yuran pengajian — Kursus kemahiran (Terhad RM7,000)</t>
  </si>
  <si>
    <t>Skills courses, upskilling. Currently RM0 — update if you enroll</t>
  </si>
  <si>
    <t>Optional</t>
  </si>
  <si>
    <t>Gaya Hidup — WiFi + Phone + Books + Sukan (Terhad RM2,500)</t>
  </si>
  <si>
    <t>Your WiFi RM1,132 + phone RM1,368 = RM2,500 MAXED</t>
  </si>
  <si>
    <t>Claim</t>
  </si>
  <si>
    <t>Gaya Hidup Tambahan — Sukan (Terhad RM1,000)</t>
  </si>
  <si>
    <t>EXTRA sports relief on top of RM2,500. Gym/equipment/competition.</t>
  </si>
  <si>
    <t>Currently RM0 — HIGH IMPACT if you open SSPN account</t>
  </si>
  <si>
    <t>Insurans nyawa + KWSP Sukarela (Terhad RM7,000 jumlah)</t>
  </si>
  <si>
    <t>Your RM30/month = RM360. Limit RM3,000 for insurance portion</t>
  </si>
  <si>
    <t>Skim PRS persaraan swasta (Terhad RM3,000)</t>
  </si>
  <si>
    <t>Currently RM0 — consider PRS fund contribution</t>
  </si>
  <si>
    <t>Medical card premiums. Currently RM0 — consider upgrading insurance</t>
  </si>
  <si>
    <t>Your 2025 form showed RM181. 2026 ~RM237 based on salary.</t>
  </si>
  <si>
    <t>Pemeriksaan perubatan / pergigian / dental (Terhad RM1,000)</t>
  </si>
  <si>
    <t>Medical checkup, dental, vaccination — keep receipts</t>
  </si>
  <si>
    <t>TOTAL PELEPASAN</t>
  </si>
  <si>
    <t>Sum of all reliefs above</t>
  </si>
  <si>
    <t>Total</t>
  </si>
  <si>
    <t>REBAT &amp; TOLAKAN</t>
  </si>
  <si>
    <t>Enter actual zakat paid — RM for RM tax deduction!</t>
  </si>
  <si>
    <t>Levi Umrah (Terhad 2× seumur hidup)</t>
  </si>
  <si>
    <t>Only if you performed umrah in 2026</t>
  </si>
  <si>
    <t>BAHAGIAN D — CUKAI &amp; KEPUTUSAN (Result)</t>
  </si>
  <si>
    <t>Pendapatan Bercukai (Chargeable Income)</t>
  </si>
  <si>
    <t>Statutory income minus all reliefs</t>
  </si>
  <si>
    <t>Tax on chargeable income using progressive bands</t>
  </si>
  <si>
    <t>Tolak PCB — Potongan Cukai Bulanan</t>
  </si>
  <si>
    <t>Total PCB deducted by employer all year. Verify vs MyTax.</t>
  </si>
  <si>
    <t>BAKI CUKAI KENA DIBAYAR / LEBIHAN</t>
  </si>
  <si>
    <t>POSITIVE = pay this by 30 Apr 2027. NEGATIVE = LHDN refunds you. Your 2025 balance was RM52.43.</t>
  </si>
  <si>
    <t>Result</t>
  </si>
  <si>
    <t>YOUR 2025 vs 2026 COMPARISON (Reference)</t>
  </si>
  <si>
    <t>2025 Assessment Year Result</t>
  </si>
  <si>
    <t>RM 52.43 kena bayar</t>
  </si>
  <si>
    <t>Confirmed from your Borang BE 2025</t>
  </si>
  <si>
    <t>2026 — Main salary only (est.)</t>
  </si>
  <si>
    <t>Without part-time income</t>
  </si>
  <si>
    <t>Estimated</t>
  </si>
  <si>
    <t>2026 — With part-time Nuvera (est.)</t>
  </si>
  <si>
    <t>Including ~RM19,000+ part-time</t>
  </si>
  <si>
    <t>Difference from declaring part-time</t>
  </si>
  <si>
    <t>Extra tax owed due to part-time income</t>
  </si>
  <si>
    <t>Key figure</t>
  </si>
  <si>
    <t>2025 ACTUAL vs 2026 ESTIMATED — BORANG BE COMPARISON</t>
  </si>
  <si>
    <t>2025 figures from your actual submitted Borang BE. 2026 figures estimated from tracker.</t>
  </si>
  <si>
    <t>⚠  NOTE: Your 2025 form shows RM2,362 under "Faedah/Lain-lain" income. This may be bank interest, part-time income, or other sources. Please confirm what this was — it affects how we compare 2025 vs 2026.</t>
  </si>
  <si>
    <t>Item</t>
  </si>
  <si>
    <t>2025 Actual (RM)</t>
  </si>
  <si>
    <t>2026 Main Only (Est.)</t>
  </si>
  <si>
    <t>2026 + Part-time (Est.)</t>
  </si>
  <si>
    <t>Pendapatan Penggajian (Employment)</t>
  </si>
  <si>
    <t>2025: 1 employer. 2026: main salary + Nuvera part-time combined here</t>
  </si>
  <si>
    <t>Faedah / Lain-lain Income</t>
  </si>
  <si>
    <t>⚠ Confirm what this RM2,362 was in 2025 — bank interest? part-time? Other?</t>
  </si>
  <si>
    <t>Pendapatan Agregat</t>
  </si>
  <si>
    <t>2025: RM39,262. 2026 will be higher.</t>
  </si>
  <si>
    <t>Caruman KWSP / EPF</t>
  </si>
  <si>
    <t>2025: PCB=0, EPF=0 in form (pre-filled missing?). 2026: proper EPF deduction.</t>
  </si>
  <si>
    <t>Pendapatan Berkanun (Statutory Income)</t>
  </si>
  <si>
    <t>2025 statutory = RM36,900 (employment only, no EPF deducted in form)</t>
  </si>
  <si>
    <t>BAHAGIAN C — PELEPASAN (Reliefs)</t>
  </si>
  <si>
    <t>Individu &amp; saudara tanggungan</t>
  </si>
  <si>
    <t>Always RM9,000 — automatic</t>
  </si>
  <si>
    <t>Gaya Hidup (RM2,500 limit)</t>
  </si>
  <si>
    <t>2025: not claimed (RM0). 2026: WiFi+phone = RM2,500 MAXED</t>
  </si>
  <si>
    <t>Insurans Nyawa</t>
  </si>
  <si>
    <t>2025: not claimed. 2026: RM360 (RM30/month)</t>
  </si>
  <si>
    <t>SOCSO / PERKESO</t>
  </si>
  <si>
    <t>2025: RM181 claimed. 2026: ~RM237 expected.</t>
  </si>
  <si>
    <t>SSPN Savings</t>
  </si>
  <si>
    <t>Not claimed in 2025 or 2026 yet — HIGH IMPACT if opened</t>
  </si>
  <si>
    <t>Not claimed 2025. Claim in 2026 if you get a checkup.</t>
  </si>
  <si>
    <t>2025: RM9,181. 2026 with new reliefs: higher.</t>
  </si>
  <si>
    <t>BAHAGIAN D — CUKAI &amp; KEPUTUSAN (Tax Result)</t>
  </si>
  <si>
    <t>Pendapatan Bercukai (Chargeable)</t>
  </si>
  <si>
    <t>2025: RM39,262 - RM9,181 reliefs - EPF = ~RM27,719</t>
  </si>
  <si>
    <t>2025 actual tax: RM61.43 (very low — income in 1% band)</t>
  </si>
  <si>
    <t>Tolak PCB dibayar</t>
  </si>
  <si>
    <t>2025: PCB was RM0 (no deduction). 2026: RM627.45+ already paid.</t>
  </si>
  <si>
    <t>BAKI CUKAI KENA DIBAYAR</t>
  </si>
  <si>
    <t>2025 PAID: RM61.43. 2026 with part-time: significantly higher.</t>
  </si>
  <si>
    <t>KEY INSIGHTS FROM YOUR 2025 FORM</t>
  </si>
  <si>
    <t>1.  PCB was RM0 in 2025</t>
  </si>
  <si>
    <t>Your employer did NOT deduct PCB in 2025 at all. You paid the full RM61.43 yourself at e-Filing. In 2026, your employer IS deducting PCB (RM627.45 so far) — much better managed.</t>
  </si>
  <si>
    <t>2.  RM2,362 "Faedah/Lain-lain" needs clarification</t>
  </si>
  <si>
    <t>This unidentified income was declared in 2025. Was it bank interest? Part-time income? If it was informal part-time, it means you HAVE declared such income before — same applies to Nuvera in 2026.</t>
  </si>
  <si>
    <t>3.  Your total 2025 tax was only RM61.43</t>
  </si>
  <si>
    <t>On RM39,262 aggregate income, you paid just RM61.43 in tax. That is 0.16% effective rate. In 2026 with part-time, expect ~RM1,500–2,000 more — still very low as a % of income.</t>
  </si>
  <si>
    <t>4.  You did NOT claim lifestyle, insurance or WiFi in 2025</t>
  </si>
  <si>
    <t>In 2026 you are claiming RM2,500 lifestyle + RM360 insurance + RM237 SOCSO = RM3,097 extra reliefs. This alone saves you ~RM93 vs 2025. Keep building reliefs!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</si>
</sst>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5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1F4E79"/>
      <name val="Arial"/>
      <charset val="1"/>
    </font>
    <font>
      <b/>
      <sz val="14"/>
      <color rgb="FF1F4E79"/>
      <name val="Arial"/>
      <charset val="1"/>
    </font>
    <font>
      <b/>
      <sz val="13"/>
      <color rgb="FFC00000"/>
      <name val="Arial"/>
      <charset val="1"/>
    </font>
    <font>
      <b/>
      <sz val="13"/>
      <color rgb="FF1D9E75"/>
      <name val="Arial"/>
      <charset val="1"/>
    </font>
    <font>
      <b/>
      <sz val="13"/>
      <color rgb="FF7F6000"/>
      <name val="Arial"/>
      <charset val="1"/>
    </font>
    <font>
      <sz val="10"/>
      <color rgb="FF595959"/>
      <name val="Arial"/>
      <charset val="1"/>
    </font>
    <font>
      <b/>
      <sz val="10"/>
      <color rgb="FF7F6000"/>
      <name val="Arial"/>
      <charset val="1"/>
    </font>
    <font>
      <b/>
      <sz val="12"/>
      <color rgb="FFFFFFFF"/>
      <name val="Arial"/>
      <charset val="1"/>
    </font>
    <font>
      <b/>
      <sz val="9"/>
      <color rgb="FFFFFFFF"/>
      <name val="Arial"/>
      <charset val="1"/>
    </font>
    <font>
      <i/>
      <sz val="9"/>
      <color rgb="FF7F6000"/>
      <name val="Arial"/>
      <charset val="1"/>
    </font>
    <font>
      <b/>
      <sz val="10"/>
      <color rgb="FF000000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sz val="10"/>
      <color rgb="FF7F6000"/>
      <name val="Arial"/>
      <charset val="1"/>
    </font>
    <font>
      <b/>
      <sz val="10"/>
      <color rgb="FF1D9E75"/>
      <name val="Arial"/>
      <charset val="1"/>
    </font>
    <font>
      <i/>
      <sz val="10"/>
      <color rgb="FF0000FF"/>
      <name val="Arial"/>
      <charset val="1"/>
    </font>
    <font>
      <b/>
      <sz val="9"/>
      <color rgb="FFC00000"/>
      <name val="Arial"/>
      <charset val="1"/>
    </font>
    <font>
      <sz val="10"/>
      <color rgb="FF1D9E75"/>
      <name val="Arial"/>
      <charset val="1"/>
    </font>
    <font>
      <sz val="9"/>
      <color rgb="FF000000"/>
      <name val="Arial"/>
      <charset val="1"/>
    </font>
    <font>
      <sz val="9"/>
      <color rgb="FF595959"/>
      <name val="Arial"/>
      <charset val="1"/>
    </font>
    <font>
      <sz val="9"/>
      <color rgb="FF0000FF"/>
      <name val="Arial"/>
      <charset val="1"/>
    </font>
    <font>
      <sz val="9"/>
      <color rgb="FF1D9E75"/>
      <name val="Arial"/>
      <charset val="1"/>
    </font>
    <font>
      <b/>
      <sz val="10"/>
      <color rgb="FFC00000"/>
      <name val="Arial"/>
      <charset val="1"/>
    </font>
    <font>
      <sz val="9"/>
      <color rgb="FFC00000"/>
      <name val="Arial"/>
      <charset val="1"/>
    </font>
    <font>
      <sz val="9"/>
      <color rgb="FF7F6000"/>
      <name val="Arial"/>
      <charset val="1"/>
    </font>
    <font>
      <b/>
      <sz val="9"/>
      <color rgb="FF1F4E79"/>
      <name val="Arial"/>
      <charset val="1"/>
    </font>
    <font>
      <i/>
      <sz val="9"/>
      <color rgb="FFC00000"/>
      <name val="Arial"/>
      <charset val="1"/>
    </font>
    <font>
      <sz val="9"/>
      <color rgb="FF1F4E79"/>
      <name val="Arial"/>
      <charset val="1"/>
    </font>
    <font>
      <b/>
      <sz val="9"/>
      <color rgb="FF1D9E75"/>
      <name val="Arial"/>
      <charset val="1"/>
    </font>
    <font>
      <b/>
      <sz val="9"/>
      <color rgb="FF0000FF"/>
      <name val="Arial"/>
      <charset val="1"/>
    </font>
    <font>
      <b/>
      <sz val="9"/>
      <color rgb="FF595959"/>
      <name val="Arial"/>
      <charset val="1"/>
    </font>
    <font>
      <b/>
      <sz val="9"/>
      <color rgb="FF7F6000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2EFDA"/>
      </patternFill>
    </fill>
    <fill>
      <patternFill patternType="solid">
        <fgColor rgb="FFEBF3FB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BF3FB"/>
      </patternFill>
    </fill>
  </fills>
  <borders count="11">
    <border>
      <left/>
      <right/>
      <top/>
      <bottom/>
      <diagonal/>
    </border>
    <border>
      <left style="medium">
        <color rgb="FF1F4E79"/>
      </left>
      <right/>
      <top style="medium">
        <color rgb="FF1F4E79"/>
      </top>
      <bottom style="medium">
        <color rgb="FF1F4E79"/>
      </bottom>
      <diagonal/>
    </border>
    <border>
      <left style="thin">
        <color rgb="FFCCCCCC"/>
      </left>
      <right style="medium">
        <color rgb="FF1F4E79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medium">
        <color rgb="FF1F4E79"/>
      </top>
      <bottom style="medium">
        <color rgb="FF1F4E79"/>
      </bottom>
      <diagonal/>
    </border>
    <border>
      <left/>
      <right style="medium">
        <color rgb="FF1F4E79"/>
      </right>
      <top style="thin">
        <color rgb="FFCCCCCC"/>
      </top>
      <bottom style="thin">
        <color rgb="FFCCCCCC"/>
      </bottom>
      <diagonal/>
    </border>
    <border>
      <left/>
      <right style="medium">
        <color rgb="FF1F4E79"/>
      </right>
      <top style="medium">
        <color rgb="FF1F4E79"/>
      </top>
      <bottom style="medium">
        <color rgb="FF1F4E79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8" fillId="9" borderId="3" xfId="0" applyFont="1" applyFill="1" applyBorder="1" applyAlignment="1">
      <alignment horizontal="left" vertical="center"/>
    </xf>
    <xf numFmtId="0" fontId="8" fillId="5" borderId="3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3" fillId="9" borderId="3" xfId="0" applyFont="1" applyFill="1" applyBorder="1" applyAlignment="1">
      <alignment horizontal="left" vertical="center"/>
    </xf>
    <xf numFmtId="0" fontId="11" fillId="3" borderId="5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left" vertical="center"/>
    </xf>
    <xf numFmtId="164" fontId="14" fillId="5" borderId="3" xfId="0" applyNumberFormat="1" applyFont="1" applyFill="1" applyBorder="1" applyAlignment="1">
      <alignment horizontal="right" vertical="center"/>
    </xf>
    <xf numFmtId="4" fontId="14" fillId="5" borderId="3" xfId="0" applyNumberFormat="1" applyFont="1" applyFill="1" applyBorder="1" applyAlignment="1">
      <alignment horizontal="right" vertical="center"/>
    </xf>
    <xf numFmtId="4" fontId="15" fillId="5" borderId="3" xfId="0" applyNumberFormat="1" applyFont="1" applyFill="1" applyBorder="1" applyAlignment="1">
      <alignment horizontal="right" vertical="center"/>
    </xf>
    <xf numFmtId="4" fontId="13" fillId="5" borderId="3" xfId="0" applyNumberFormat="1" applyFont="1" applyFill="1" applyBorder="1" applyAlignment="1">
      <alignment horizontal="right" vertical="center"/>
    </xf>
    <xf numFmtId="0" fontId="8" fillId="5" borderId="3" xfId="0" applyFont="1" applyFill="1" applyBorder="1" applyAlignment="1">
      <alignment horizontal="right" vertical="center"/>
    </xf>
    <xf numFmtId="0" fontId="13" fillId="9" borderId="3" xfId="0" applyFont="1" applyFill="1" applyBorder="1" applyAlignment="1">
      <alignment horizontal="left" vertical="center"/>
    </xf>
    <xf numFmtId="164" fontId="14" fillId="9" borderId="3" xfId="0" applyNumberFormat="1" applyFont="1" applyFill="1" applyBorder="1" applyAlignment="1">
      <alignment horizontal="right" vertical="center"/>
    </xf>
    <xf numFmtId="4" fontId="14" fillId="9" borderId="3" xfId="0" applyNumberFormat="1" applyFont="1" applyFill="1" applyBorder="1" applyAlignment="1">
      <alignment horizontal="right" vertical="center"/>
    </xf>
    <xf numFmtId="4" fontId="15" fillId="9" borderId="3" xfId="0" applyNumberFormat="1" applyFont="1" applyFill="1" applyBorder="1" applyAlignment="1">
      <alignment horizontal="right" vertical="center"/>
    </xf>
    <xf numFmtId="4" fontId="13" fillId="9" borderId="3" xfId="0" applyNumberFormat="1" applyFont="1" applyFill="1" applyBorder="1" applyAlignment="1">
      <alignment horizontal="right" vertical="center"/>
    </xf>
    <xf numFmtId="0" fontId="8" fillId="9" borderId="3" xfId="0" applyFont="1" applyFill="1" applyBorder="1" applyAlignment="1">
      <alignment horizontal="right" vertical="center"/>
    </xf>
    <xf numFmtId="164" fontId="14" fillId="10" borderId="3" xfId="0" applyNumberFormat="1" applyFont="1" applyFill="1" applyBorder="1" applyAlignment="1">
      <alignment horizontal="right" vertical="center"/>
    </xf>
    <xf numFmtId="4" fontId="14" fillId="10" borderId="3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left" vertical="center"/>
    </xf>
    <xf numFmtId="4" fontId="2" fillId="2" borderId="3" xfId="0" applyNumberFormat="1" applyFont="1" applyFill="1" applyBorder="1" applyAlignment="1">
      <alignment horizontal="right" vertical="center"/>
    </xf>
    <xf numFmtId="0" fontId="15" fillId="5" borderId="3" xfId="0" applyFont="1" applyFill="1" applyBorder="1" applyAlignment="1">
      <alignment horizontal="left" vertical="center"/>
    </xf>
    <xf numFmtId="164" fontId="14" fillId="5" borderId="3" xfId="0" applyNumberFormat="1" applyFont="1" applyFill="1" applyBorder="1" applyAlignment="1">
      <alignment horizontal="left" vertical="center"/>
    </xf>
    <xf numFmtId="0" fontId="14" fillId="5" borderId="3" xfId="0" applyFont="1" applyFill="1" applyBorder="1" applyAlignment="1">
      <alignment horizontal="left" vertical="center"/>
    </xf>
    <xf numFmtId="0" fontId="15" fillId="9" borderId="3" xfId="0" applyFont="1" applyFill="1" applyBorder="1" applyAlignment="1">
      <alignment horizontal="left" vertical="center"/>
    </xf>
    <xf numFmtId="164" fontId="14" fillId="9" borderId="3" xfId="0" applyNumberFormat="1" applyFont="1" applyFill="1" applyBorder="1" applyAlignment="1">
      <alignment horizontal="left" vertical="center"/>
    </xf>
    <xf numFmtId="0" fontId="14" fillId="9" borderId="3" xfId="0" applyFont="1" applyFill="1" applyBorder="1" applyAlignment="1">
      <alignment horizontal="left" vertical="center"/>
    </xf>
    <xf numFmtId="0" fontId="16" fillId="8" borderId="3" xfId="0" applyFont="1" applyFill="1" applyBorder="1" applyAlignment="1">
      <alignment horizontal="left" vertical="center"/>
    </xf>
    <xf numFmtId="0" fontId="14" fillId="10" borderId="3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4" fontId="17" fillId="7" borderId="3" xfId="0" applyNumberFormat="1" applyFont="1" applyFill="1" applyBorder="1" applyAlignment="1">
      <alignment horizontal="right" vertical="center"/>
    </xf>
    <xf numFmtId="10" fontId="15" fillId="5" borderId="3" xfId="0" applyNumberFormat="1" applyFont="1" applyFill="1" applyBorder="1" applyAlignment="1">
      <alignment horizontal="right" vertical="center"/>
    </xf>
    <xf numFmtId="10" fontId="15" fillId="9" borderId="3" xfId="0" applyNumberFormat="1" applyFont="1" applyFill="1" applyBorder="1" applyAlignment="1">
      <alignment horizontal="right" vertical="center"/>
    </xf>
    <xf numFmtId="0" fontId="18" fillId="10" borderId="3" xfId="0" applyFont="1" applyFill="1" applyBorder="1" applyAlignment="1">
      <alignment horizontal="left" vertical="center"/>
    </xf>
    <xf numFmtId="0" fontId="13" fillId="8" borderId="3" xfId="0" applyFont="1" applyFill="1" applyBorder="1" applyAlignment="1">
      <alignment horizontal="left" vertical="center"/>
    </xf>
    <xf numFmtId="0" fontId="13" fillId="11" borderId="3" xfId="0" applyFont="1" applyFill="1" applyBorder="1" applyAlignment="1">
      <alignment horizontal="left" vertical="center"/>
    </xf>
    <xf numFmtId="4" fontId="13" fillId="11" borderId="3" xfId="0" applyNumberFormat="1" applyFont="1" applyFill="1" applyBorder="1" applyAlignment="1">
      <alignment horizontal="right" vertical="center"/>
    </xf>
    <xf numFmtId="0" fontId="13" fillId="7" borderId="3" xfId="0" applyFont="1" applyFill="1" applyBorder="1" applyAlignment="1">
      <alignment horizontal="left" vertical="center"/>
    </xf>
    <xf numFmtId="4" fontId="13" fillId="7" borderId="3" xfId="0" applyNumberFormat="1" applyFont="1" applyFill="1" applyBorder="1" applyAlignment="1">
      <alignment horizontal="right" vertical="center"/>
    </xf>
    <xf numFmtId="4" fontId="13" fillId="8" borderId="3" xfId="0" applyNumberFormat="1" applyFont="1" applyFill="1" applyBorder="1" applyAlignment="1">
      <alignment horizontal="right" vertical="center"/>
    </xf>
    <xf numFmtId="0" fontId="13" fillId="6" borderId="3" xfId="0" applyFont="1" applyFill="1" applyBorder="1" applyAlignment="1">
      <alignment horizontal="left" vertical="center"/>
    </xf>
    <xf numFmtId="4" fontId="13" fillId="6" borderId="3" xfId="0" applyNumberFormat="1" applyFont="1" applyFill="1" applyBorder="1" applyAlignment="1">
      <alignment horizontal="right" vertical="center"/>
    </xf>
    <xf numFmtId="0" fontId="20" fillId="7" borderId="3" xfId="0" applyFont="1" applyFill="1" applyBorder="1" applyAlignment="1">
      <alignment horizontal="left" vertical="center"/>
    </xf>
    <xf numFmtId="0" fontId="8" fillId="11" borderId="3" xfId="0" applyFont="1" applyFill="1" applyBorder="1" applyAlignment="1">
      <alignment horizontal="left" vertical="center"/>
    </xf>
    <xf numFmtId="4" fontId="15" fillId="2" borderId="3" xfId="0" applyNumberFormat="1" applyFont="1" applyFill="1" applyBorder="1" applyAlignment="1">
      <alignment horizontal="left" vertical="center"/>
    </xf>
    <xf numFmtId="0" fontId="15" fillId="2" borderId="3" xfId="0" applyFont="1" applyFill="1" applyBorder="1" applyAlignment="1">
      <alignment horizontal="left" vertical="center"/>
    </xf>
    <xf numFmtId="0" fontId="21" fillId="9" borderId="3" xfId="0" applyFont="1" applyFill="1" applyBorder="1" applyAlignment="1">
      <alignment horizontal="left" vertical="center"/>
    </xf>
    <xf numFmtId="0" fontId="22" fillId="9" borderId="3" xfId="0" applyFont="1" applyFill="1" applyBorder="1" applyAlignment="1">
      <alignment horizontal="left" vertical="center" wrapText="1"/>
    </xf>
    <xf numFmtId="0" fontId="22" fillId="9" borderId="3" xfId="0" applyFont="1" applyFill="1" applyBorder="1" applyAlignment="1">
      <alignment horizontal="left" vertical="center"/>
    </xf>
    <xf numFmtId="0" fontId="21" fillId="5" borderId="3" xfId="0" applyFont="1" applyFill="1" applyBorder="1" applyAlignment="1">
      <alignment horizontal="left" vertical="center"/>
    </xf>
    <xf numFmtId="0" fontId="22" fillId="5" borderId="3" xfId="0" applyFont="1" applyFill="1" applyBorder="1" applyAlignment="1">
      <alignment horizontal="left" vertical="center" wrapText="1"/>
    </xf>
    <xf numFmtId="0" fontId="22" fillId="5" borderId="3" xfId="0" applyFont="1" applyFill="1" applyBorder="1" applyAlignment="1">
      <alignment horizontal="left" vertical="center"/>
    </xf>
    <xf numFmtId="4" fontId="23" fillId="10" borderId="3" xfId="0" applyNumberFormat="1" applyFont="1" applyFill="1" applyBorder="1" applyAlignment="1">
      <alignment horizontal="right" vertical="center"/>
    </xf>
    <xf numFmtId="0" fontId="24" fillId="5" borderId="3" xfId="0" applyFont="1" applyFill="1" applyBorder="1" applyAlignment="1">
      <alignment horizontal="left" vertical="center" wrapText="1"/>
    </xf>
    <xf numFmtId="0" fontId="24" fillId="9" borderId="3" xfId="0" applyFont="1" applyFill="1" applyBorder="1" applyAlignment="1">
      <alignment horizontal="left" vertical="center" wrapText="1"/>
    </xf>
    <xf numFmtId="0" fontId="21" fillId="11" borderId="3" xfId="0" applyFont="1" applyFill="1" applyBorder="1" applyAlignment="1">
      <alignment horizontal="left" vertical="center"/>
    </xf>
    <xf numFmtId="0" fontId="22" fillId="11" borderId="3" xfId="0" applyFont="1" applyFill="1" applyBorder="1" applyAlignment="1">
      <alignment horizontal="left" vertical="center" wrapText="1"/>
    </xf>
    <xf numFmtId="0" fontId="22" fillId="11" borderId="3" xfId="0" applyFont="1" applyFill="1" applyBorder="1" applyAlignment="1">
      <alignment horizontal="left" vertical="center"/>
    </xf>
    <xf numFmtId="0" fontId="21" fillId="6" borderId="3" xfId="0" applyFont="1" applyFill="1" applyBorder="1" applyAlignment="1">
      <alignment horizontal="left" vertical="center"/>
    </xf>
    <xf numFmtId="0" fontId="22" fillId="6" borderId="3" xfId="0" applyFont="1" applyFill="1" applyBorder="1" applyAlignment="1">
      <alignment horizontal="left" vertical="center" wrapText="1"/>
    </xf>
    <xf numFmtId="0" fontId="26" fillId="6" borderId="3" xfId="0" applyFont="1" applyFill="1" applyBorder="1" applyAlignment="1">
      <alignment horizontal="left" vertical="center" wrapText="1"/>
    </xf>
    <xf numFmtId="0" fontId="21" fillId="8" borderId="3" xfId="0" applyFont="1" applyFill="1" applyBorder="1" applyAlignment="1">
      <alignment horizontal="left" vertical="center"/>
    </xf>
    <xf numFmtId="0" fontId="22" fillId="8" borderId="3" xfId="0" applyFont="1" applyFill="1" applyBorder="1" applyAlignment="1">
      <alignment horizontal="left" vertical="center" wrapText="1"/>
    </xf>
    <xf numFmtId="0" fontId="22" fillId="8" borderId="3" xfId="0" applyFont="1" applyFill="1" applyBorder="1" applyAlignment="1">
      <alignment horizontal="left" vertical="center"/>
    </xf>
    <xf numFmtId="0" fontId="27" fillId="8" borderId="3" xfId="0" applyFont="1" applyFill="1" applyBorder="1" applyAlignment="1">
      <alignment horizontal="left" vertical="center" wrapText="1"/>
    </xf>
    <xf numFmtId="0" fontId="28" fillId="5" borderId="3" xfId="0" applyFont="1" applyFill="1" applyBorder="1" applyAlignment="1">
      <alignment horizontal="left" vertical="center"/>
    </xf>
    <xf numFmtId="0" fontId="28" fillId="9" borderId="3" xfId="0" applyFont="1" applyFill="1" applyBorder="1" applyAlignment="1">
      <alignment horizontal="left" vertical="center"/>
    </xf>
    <xf numFmtId="0" fontId="30" fillId="5" borderId="3" xfId="0" applyFont="1" applyFill="1" applyBorder="1" applyAlignment="1">
      <alignment horizontal="left" vertical="center"/>
    </xf>
    <xf numFmtId="0" fontId="22" fillId="5" borderId="3" xfId="0" applyFont="1" applyFill="1" applyBorder="1" applyAlignment="1">
      <alignment horizontal="center" vertical="center"/>
    </xf>
    <xf numFmtId="0" fontId="30" fillId="9" borderId="3" xfId="0" applyFont="1" applyFill="1" applyBorder="1" applyAlignment="1">
      <alignment horizontal="left" vertical="center"/>
    </xf>
    <xf numFmtId="0" fontId="22" fillId="9" borderId="3" xfId="0" applyFont="1" applyFill="1" applyBorder="1" applyAlignment="1">
      <alignment horizontal="center" vertical="center"/>
    </xf>
    <xf numFmtId="4" fontId="23" fillId="5" borderId="3" xfId="0" applyNumberFormat="1" applyFont="1" applyFill="1" applyBorder="1" applyAlignment="1">
      <alignment horizontal="right" vertical="center"/>
    </xf>
    <xf numFmtId="0" fontId="27" fillId="8" borderId="3" xfId="0" applyFont="1" applyFill="1" applyBorder="1" applyAlignment="1">
      <alignment horizontal="center" vertical="center"/>
    </xf>
    <xf numFmtId="0" fontId="31" fillId="7" borderId="3" xfId="0" applyFont="1" applyFill="1" applyBorder="1" applyAlignment="1">
      <alignment horizontal="center" vertical="center"/>
    </xf>
    <xf numFmtId="0" fontId="31" fillId="7" borderId="3" xfId="0" applyFont="1" applyFill="1" applyBorder="1" applyAlignment="1">
      <alignment horizontal="left" vertical="center"/>
    </xf>
    <xf numFmtId="4" fontId="17" fillId="10" borderId="3" xfId="0" applyNumberFormat="1" applyFont="1" applyFill="1" applyBorder="1" applyAlignment="1">
      <alignment horizontal="right" vertical="center"/>
    </xf>
    <xf numFmtId="0" fontId="22" fillId="7" borderId="3" xfId="0" applyFont="1" applyFill="1" applyBorder="1" applyAlignment="1">
      <alignment horizontal="left" vertical="center" wrapText="1"/>
    </xf>
    <xf numFmtId="0" fontId="22" fillId="7" borderId="3" xfId="0" applyFont="1" applyFill="1" applyBorder="1" applyAlignment="1">
      <alignment horizontal="center" vertical="center"/>
    </xf>
    <xf numFmtId="4" fontId="23" fillId="9" borderId="3" xfId="0" applyNumberFormat="1" applyFont="1" applyFill="1" applyBorder="1" applyAlignment="1">
      <alignment horizontal="right" vertical="center"/>
    </xf>
    <xf numFmtId="0" fontId="19" fillId="6" borderId="3" xfId="0" applyFont="1" applyFill="1" applyBorder="1" applyAlignment="1">
      <alignment horizontal="left" vertical="center"/>
    </xf>
    <xf numFmtId="4" fontId="25" fillId="10" borderId="3" xfId="0" applyNumberFormat="1" applyFont="1" applyFill="1" applyBorder="1" applyAlignment="1">
      <alignment horizontal="right" vertical="center"/>
    </xf>
    <xf numFmtId="0" fontId="22" fillId="6" borderId="3" xfId="0" applyFont="1" applyFill="1" applyBorder="1" applyAlignment="1">
      <alignment horizontal="center" vertical="center"/>
    </xf>
    <xf numFmtId="0" fontId="28" fillId="8" borderId="3" xfId="0" applyFont="1" applyFill="1" applyBorder="1" applyAlignment="1">
      <alignment horizontal="left" vertical="center"/>
    </xf>
    <xf numFmtId="0" fontId="22" fillId="8" borderId="3" xfId="0" applyFont="1" applyFill="1" applyBorder="1" applyAlignment="1">
      <alignment horizontal="center" vertical="center"/>
    </xf>
    <xf numFmtId="4" fontId="24" fillId="5" borderId="3" xfId="0" applyNumberFormat="1" applyFont="1" applyFill="1" applyBorder="1" applyAlignment="1">
      <alignment horizontal="right" vertical="center"/>
    </xf>
    <xf numFmtId="4" fontId="24" fillId="8" borderId="3" xfId="0" applyNumberFormat="1" applyFont="1" applyFill="1" applyBorder="1" applyAlignment="1">
      <alignment horizontal="right" vertical="center"/>
    </xf>
    <xf numFmtId="4" fontId="23" fillId="8" borderId="3" xfId="0" applyNumberFormat="1" applyFont="1" applyFill="1" applyBorder="1" applyAlignment="1">
      <alignment horizontal="right" vertical="center"/>
    </xf>
    <xf numFmtId="4" fontId="22" fillId="9" borderId="3" xfId="0" applyNumberFormat="1" applyFont="1" applyFill="1" applyBorder="1" applyAlignment="1">
      <alignment horizontal="right" vertical="center"/>
    </xf>
    <xf numFmtId="4" fontId="22" fillId="5" borderId="3" xfId="0" applyNumberFormat="1" applyFont="1" applyFill="1" applyBorder="1" applyAlignment="1">
      <alignment horizontal="right" vertical="center"/>
    </xf>
    <xf numFmtId="4" fontId="24" fillId="9" borderId="3" xfId="0" applyNumberFormat="1" applyFont="1" applyFill="1" applyBorder="1" applyAlignment="1">
      <alignment horizontal="right" vertical="center"/>
    </xf>
    <xf numFmtId="0" fontId="28" fillId="7" borderId="3" xfId="0" applyFont="1" applyFill="1" applyBorder="1" applyAlignment="1">
      <alignment horizontal="left" vertical="center"/>
    </xf>
    <xf numFmtId="4" fontId="24" fillId="7" borderId="3" xfId="0" applyNumberFormat="1" applyFont="1" applyFill="1" applyBorder="1" applyAlignment="1">
      <alignment horizontal="right" vertical="center"/>
    </xf>
    <xf numFmtId="4" fontId="23" fillId="7" borderId="3" xfId="0" applyNumberFormat="1" applyFont="1" applyFill="1" applyBorder="1" applyAlignment="1">
      <alignment horizontal="right" vertical="center"/>
    </xf>
    <xf numFmtId="4" fontId="31" fillId="6" borderId="3" xfId="0" applyNumberFormat="1" applyFont="1" applyFill="1" applyBorder="1" applyAlignment="1">
      <alignment horizontal="right" vertical="center"/>
    </xf>
    <xf numFmtId="4" fontId="32" fillId="6" borderId="3" xfId="0" applyNumberFormat="1" applyFont="1" applyFill="1" applyBorder="1" applyAlignment="1">
      <alignment horizontal="right" vertical="center"/>
    </xf>
    <xf numFmtId="0" fontId="33" fillId="6" borderId="3" xfId="0" applyFont="1" applyFill="1" applyBorder="1" applyAlignment="1">
      <alignment horizontal="left" vertical="center" wrapText="1"/>
    </xf>
    <xf numFmtId="0" fontId="34" fillId="8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0" fillId="0" borderId="6" xfId="0" applyBorder="1"/>
    <xf numFmtId="0" fontId="11" fillId="3" borderId="1" xfId="0" applyFont="1" applyFill="1" applyBorder="1" applyAlignment="1">
      <alignment horizontal="center" vertical="center" wrapText="1"/>
    </xf>
    <xf numFmtId="0" fontId="0" fillId="0" borderId="8" xfId="0" applyBorder="1"/>
    <xf numFmtId="0" fontId="10" fillId="2" borderId="1" xfId="0" applyFont="1" applyFill="1" applyBorder="1" applyAlignment="1">
      <alignment horizontal="center" vertical="center" wrapText="1"/>
    </xf>
    <xf numFmtId="0" fontId="19" fillId="6" borderId="0" xfId="0" applyFont="1" applyFill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left" vertical="center" wrapText="1"/>
    </xf>
    <xf numFmtId="4" fontId="6" fillId="7" borderId="3" xfId="0" applyNumberFormat="1" applyFont="1" applyFill="1" applyBorder="1" applyAlignment="1">
      <alignment horizontal="center" vertical="center"/>
    </xf>
    <xf numFmtId="0" fontId="0" fillId="0" borderId="7" xfId="0" applyBorder="1"/>
    <xf numFmtId="4" fontId="4" fillId="5" borderId="3" xfId="0" applyNumberFormat="1" applyFont="1" applyFill="1" applyBorder="1" applyAlignment="1">
      <alignment horizontal="center" vertical="center"/>
    </xf>
    <xf numFmtId="4" fontId="5" fillId="6" borderId="3" xfId="0" applyNumberFormat="1" applyFont="1" applyFill="1" applyBorder="1" applyAlignment="1">
      <alignment horizontal="center" vertical="center"/>
    </xf>
    <xf numFmtId="4" fontId="7" fillId="8" borderId="3" xfId="0" applyNumberFormat="1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left" vertical="center" wrapText="1"/>
    </xf>
    <xf numFmtId="4" fontId="3" fillId="5" borderId="4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0" fillId="0" borderId="9" xfId="0" applyBorder="1"/>
    <xf numFmtId="4" fontId="3" fillId="9" borderId="4" xfId="0" applyNumberFormat="1" applyFont="1" applyFill="1" applyBorder="1" applyAlignment="1">
      <alignment horizontal="right" vertical="center"/>
    </xf>
    <xf numFmtId="0" fontId="9" fillId="8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left" vertical="center"/>
    </xf>
    <xf numFmtId="0" fontId="10" fillId="2" borderId="5" xfId="0" applyFont="1" applyFill="1" applyBorder="1" applyAlignment="1">
      <alignment horizontal="center" vertical="center" wrapText="1"/>
    </xf>
    <xf numFmtId="0" fontId="0" fillId="0" borderId="10" xfId="0" applyBorder="1"/>
    <xf numFmtId="0" fontId="8" fillId="5" borderId="4" xfId="0" applyFont="1" applyFill="1" applyBorder="1" applyAlignment="1">
      <alignment horizontal="left" vertical="center"/>
    </xf>
    <xf numFmtId="0" fontId="12" fillId="8" borderId="0" xfId="0" applyFont="1" applyFill="1" applyAlignment="1">
      <alignment horizontal="left" vertical="center" wrapText="1"/>
    </xf>
    <xf numFmtId="0" fontId="25" fillId="6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/>
    </xf>
    <xf numFmtId="0" fontId="29" fillId="6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0" fontId="24" fillId="7" borderId="4" xfId="0" applyFont="1" applyFill="1" applyBorder="1" applyAlignment="1">
      <alignment horizontal="left" vertical="center" wrapText="1"/>
    </xf>
    <xf numFmtId="0" fontId="27" fillId="8" borderId="4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0" fillId="5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CCCCC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1D9E75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31"/>
  <sheetViews>
    <sheetView showGridLines="0" topLeftCell="A9" zoomScaleNormal="100" workbookViewId="0">
      <selection activeCell="I6" sqref="I6"/>
    </sheetView>
  </sheetViews>
  <sheetFormatPr defaultColWidth="8.7109375" defaultRowHeight="15" x14ac:dyDescent="0.25"/>
  <cols>
    <col min="1" max="1" width="3" customWidth="1"/>
    <col min="2" max="2" width="28" customWidth="1"/>
    <col min="3" max="3" width="35.28515625" customWidth="1"/>
    <col min="4" max="4" width="18" customWidth="1"/>
    <col min="5" max="5" width="60.7109375" customWidth="1"/>
    <col min="6" max="6" width="18" customWidth="1"/>
    <col min="7" max="7" width="38.42578125" customWidth="1"/>
    <col min="8" max="8" width="3" customWidth="1"/>
  </cols>
  <sheetData>
    <row r="1" spans="2:7" ht="7.5" customHeight="1" x14ac:dyDescent="0.25"/>
    <row r="2" spans="2:7" ht="31.5" customHeight="1" x14ac:dyDescent="0.25">
      <c r="B2" s="105" t="s">
        <v>39</v>
      </c>
      <c r="C2" s="101"/>
      <c r="D2" s="101"/>
      <c r="E2" s="101"/>
      <c r="F2" s="101"/>
      <c r="G2" s="101"/>
    </row>
    <row r="3" spans="2:7" ht="19.5" customHeight="1" x14ac:dyDescent="0.25">
      <c r="B3" s="118" t="s">
        <v>40</v>
      </c>
      <c r="C3" s="101"/>
      <c r="D3" s="101"/>
      <c r="E3" s="101"/>
      <c r="F3" s="101"/>
      <c r="G3" s="101"/>
    </row>
    <row r="5" spans="2:7" ht="7.5" customHeight="1" x14ac:dyDescent="0.25"/>
    <row r="6" spans="2:7" ht="19.5" customHeight="1" x14ac:dyDescent="0.25">
      <c r="B6" s="114" t="s">
        <v>41</v>
      </c>
      <c r="C6" s="99"/>
      <c r="D6" s="99"/>
      <c r="E6" s="99"/>
      <c r="F6" s="99"/>
      <c r="G6" s="115"/>
    </row>
    <row r="7" spans="2:7" ht="36" customHeight="1" x14ac:dyDescent="0.25">
      <c r="B7" s="109" t="str">
        <f>"Main Salary (YTD): RM "&amp;TEXT('Salary Log'!C17,"#,##0.00")</f>
        <v>Main Salary (YTD): RM 51,600.00</v>
      </c>
      <c r="C7" s="108"/>
      <c r="D7" s="109" t="str">
        <f>"Part-time Income (YTD): RM "&amp;TEXT('Part-time Log'!E29,"#,##0.00")</f>
        <v>Part-time Income (YTD): RM 10,082.24</v>
      </c>
      <c r="E7" s="108"/>
      <c r="F7" s="109" t="str">
        <f>"Total Income (YTD): RM "&amp;TEXT('Salary Log'!C17+'Part-time Log'!E29,"#,##0.00")</f>
        <v>Total Income (YTD): RM 61,682.24</v>
      </c>
      <c r="G7" s="108"/>
    </row>
    <row r="9" spans="2:7" ht="36" customHeight="1" x14ac:dyDescent="0.25">
      <c r="B9" s="109" t="str">
        <f>"EPF (YTD): RM "&amp;TEXT('Salary Log'!D17,"#,##0.00")</f>
        <v>EPF (YTD): RM 5,676.00</v>
      </c>
      <c r="C9" s="108"/>
      <c r="D9" s="109" t="str">
        <f>"SOCSO + EIS (YTD): RM "&amp;TEXT('Salary Log'!E17+'Salary Log'!F17,"#,##0.00")</f>
        <v>SOCSO + EIS (YTD): RM 327.45</v>
      </c>
      <c r="E9" s="108"/>
      <c r="F9" s="109" t="str">
        <f>"Net Salary (YTD): RM "&amp;TEXT('Salary Log'!G17,"#,##0.00")</f>
        <v>Net Salary (YTD): RM 45,596.55</v>
      </c>
      <c r="G9" s="108"/>
    </row>
    <row r="11" spans="2:7" ht="7.5" customHeight="1" x14ac:dyDescent="0.25"/>
    <row r="12" spans="2:7" ht="19.5" customHeight="1" x14ac:dyDescent="0.25">
      <c r="B12" s="119" t="s">
        <v>42</v>
      </c>
      <c r="C12" s="99"/>
      <c r="D12" s="99"/>
      <c r="E12" s="99"/>
      <c r="F12" s="99"/>
      <c r="G12" s="99"/>
    </row>
    <row r="13" spans="2:7" ht="39.75" customHeight="1" x14ac:dyDescent="0.25">
      <c r="B13" s="110" t="str">
        <f>"Total Reliefs: RM "&amp;TEXT('Tax Engine'!D23,"#,##0.00")</f>
        <v>Total Reliefs: RM 9,979.35</v>
      </c>
      <c r="C13" s="99"/>
      <c r="D13" s="108"/>
      <c r="E13" s="107" t="str">
        <f>"Annual Tax (Est.): RM "&amp;TEXT('Tax Engine'!D26,"#,##0.00")</f>
        <v>Annual Tax (Est.): RM 1,241.97</v>
      </c>
      <c r="F13" s="99"/>
      <c r="G13" s="108"/>
    </row>
    <row r="15" spans="2:7" ht="39.75" customHeight="1" x14ac:dyDescent="0.25">
      <c r="B15" s="107" t="str">
        <f>"PCB Paid (Jan-May): RM "&amp;TEXT('Tax Engine'!D30,"#,##0.00")</f>
        <v>PCB Paid (Jan-May): RM 627.45</v>
      </c>
      <c r="C15" s="99"/>
      <c r="D15" s="108"/>
      <c r="E15" s="111" t="str">
        <f>"Total Due at e-Filing: RM "&amp;TEXT('Tax Engine'!D34,"#,##0.00")</f>
        <v>Total Due at e-Filing: RM 614.52</v>
      </c>
      <c r="F15" s="99"/>
      <c r="G15" s="108"/>
    </row>
    <row r="17" spans="2:7" ht="7.5" customHeight="1" x14ac:dyDescent="0.25"/>
    <row r="18" spans="2:7" ht="19.5" customHeight="1" x14ac:dyDescent="0.25">
      <c r="B18" s="119" t="s">
        <v>43</v>
      </c>
      <c r="C18" s="99"/>
      <c r="D18" s="99"/>
      <c r="E18" s="99"/>
      <c r="F18" s="99"/>
      <c r="G18" s="99"/>
    </row>
    <row r="19" spans="2:7" ht="24" customHeight="1" x14ac:dyDescent="0.25">
      <c r="B19" s="1" t="s">
        <v>44</v>
      </c>
      <c r="C19" s="116">
        <f>Purchases!L1</f>
        <v>746.1</v>
      </c>
      <c r="D19" s="99"/>
      <c r="E19" s="99"/>
      <c r="F19" s="99"/>
      <c r="G19" s="99"/>
    </row>
    <row r="20" spans="2:7" ht="24" customHeight="1" x14ac:dyDescent="0.25">
      <c r="B20" s="2" t="s">
        <v>45</v>
      </c>
      <c r="C20" s="113">
        <f>Purchases!L2</f>
        <v>0</v>
      </c>
      <c r="D20" s="99"/>
      <c r="E20" s="99"/>
      <c r="F20" s="99"/>
      <c r="G20" s="99"/>
    </row>
    <row r="21" spans="2:7" ht="24" customHeight="1" x14ac:dyDescent="0.25">
      <c r="B21" s="1" t="s">
        <v>46</v>
      </c>
      <c r="C21" s="116">
        <f>Purchases!L3</f>
        <v>0</v>
      </c>
      <c r="D21" s="99"/>
      <c r="E21" s="99"/>
      <c r="F21" s="99"/>
      <c r="G21" s="99"/>
    </row>
    <row r="22" spans="2:7" ht="24" customHeight="1" x14ac:dyDescent="0.25">
      <c r="B22" s="2" t="s">
        <v>47</v>
      </c>
      <c r="C22" s="113">
        <f>Purchases!L4</f>
        <v>0</v>
      </c>
      <c r="D22" s="99"/>
      <c r="E22" s="99"/>
      <c r="F22" s="99"/>
      <c r="G22" s="99"/>
    </row>
    <row r="24" spans="2:7" ht="7.5" customHeight="1" x14ac:dyDescent="0.25"/>
    <row r="25" spans="2:7" ht="19.5" customHeight="1" x14ac:dyDescent="0.25">
      <c r="B25" s="117" t="s">
        <v>48</v>
      </c>
      <c r="C25" s="99"/>
      <c r="D25" s="99"/>
      <c r="E25" s="99"/>
      <c r="F25" s="99"/>
      <c r="G25" s="99"/>
    </row>
    <row r="26" spans="2:7" ht="21.75" customHeight="1" x14ac:dyDescent="0.25">
      <c r="B26" s="3" t="s">
        <v>49</v>
      </c>
      <c r="C26" s="106" t="s">
        <v>50</v>
      </c>
      <c r="D26" s="99"/>
      <c r="E26" s="99"/>
      <c r="F26" s="99"/>
      <c r="G26" s="99"/>
    </row>
    <row r="27" spans="2:7" ht="21.75" customHeight="1" x14ac:dyDescent="0.25">
      <c r="B27" s="4" t="s">
        <v>51</v>
      </c>
      <c r="C27" s="112" t="s">
        <v>52</v>
      </c>
      <c r="D27" s="99"/>
      <c r="E27" s="99"/>
      <c r="F27" s="99"/>
      <c r="G27" s="99"/>
    </row>
    <row r="28" spans="2:7" ht="21.75" customHeight="1" x14ac:dyDescent="0.25">
      <c r="B28" s="3" t="s">
        <v>53</v>
      </c>
      <c r="C28" s="106" t="s">
        <v>54</v>
      </c>
      <c r="D28" s="99"/>
      <c r="E28" s="99"/>
      <c r="F28" s="99"/>
      <c r="G28" s="99"/>
    </row>
    <row r="29" spans="2:7" ht="21.75" customHeight="1" x14ac:dyDescent="0.25">
      <c r="B29" s="4" t="s">
        <v>55</v>
      </c>
      <c r="C29" s="112" t="s">
        <v>56</v>
      </c>
      <c r="D29" s="99"/>
      <c r="E29" s="99"/>
      <c r="F29" s="99"/>
      <c r="G29" s="99"/>
    </row>
    <row r="30" spans="2:7" ht="21.75" customHeight="1" x14ac:dyDescent="0.25">
      <c r="B30" s="3" t="s">
        <v>57</v>
      </c>
      <c r="C30" s="106" t="s">
        <v>58</v>
      </c>
      <c r="D30" s="99"/>
      <c r="E30" s="99"/>
      <c r="F30" s="99"/>
      <c r="G30" s="99"/>
    </row>
    <row r="31" spans="2:7" ht="21.75" customHeight="1" x14ac:dyDescent="0.25">
      <c r="B31" s="4" t="s">
        <v>59</v>
      </c>
      <c r="C31" s="112" t="s">
        <v>60</v>
      </c>
      <c r="D31" s="99"/>
      <c r="E31" s="99"/>
      <c r="F31" s="99"/>
      <c r="G31" s="99"/>
    </row>
  </sheetData>
  <mergeCells count="26">
    <mergeCell ref="C31:G31"/>
    <mergeCell ref="B15:D15"/>
    <mergeCell ref="C22:G22"/>
    <mergeCell ref="B6:G6"/>
    <mergeCell ref="C21:G21"/>
    <mergeCell ref="D7:E7"/>
    <mergeCell ref="C27:G27"/>
    <mergeCell ref="B9:C9"/>
    <mergeCell ref="D9:E9"/>
    <mergeCell ref="F9:G9"/>
    <mergeCell ref="B25:G25"/>
    <mergeCell ref="C28:G28"/>
    <mergeCell ref="C19:G19"/>
    <mergeCell ref="B18:G18"/>
    <mergeCell ref="B12:G12"/>
    <mergeCell ref="B2:G2"/>
    <mergeCell ref="C30:G30"/>
    <mergeCell ref="E13:G13"/>
    <mergeCell ref="B7:C7"/>
    <mergeCell ref="B13:D13"/>
    <mergeCell ref="E15:G15"/>
    <mergeCell ref="F7:G7"/>
    <mergeCell ref="C26:G26"/>
    <mergeCell ref="C29:G29"/>
    <mergeCell ref="C20:G20"/>
    <mergeCell ref="B3:G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showGridLines="0" zoomScaleNormal="100" workbookViewId="0">
      <pane ySplit="4" topLeftCell="A5" activePane="bottomLeft" state="frozen"/>
      <selection pane="bottomLeft" activeCell="P13" sqref="P13"/>
    </sheetView>
  </sheetViews>
  <sheetFormatPr defaultColWidth="8.7109375" defaultRowHeight="15" x14ac:dyDescent="0.25"/>
  <cols>
    <col min="1" max="1" width="12" customWidth="1"/>
    <col min="2" max="2" width="14" customWidth="1"/>
    <col min="3" max="3" width="16" customWidth="1"/>
    <col min="4" max="4" width="14" customWidth="1"/>
    <col min="5" max="6" width="12" customWidth="1"/>
    <col min="7" max="7" width="16" customWidth="1"/>
    <col min="8" max="9" width="14" customWidth="1"/>
    <col min="10" max="10" width="16.85546875" bestFit="1" customWidth="1"/>
    <col min="11" max="11" width="16" customWidth="1"/>
    <col min="12" max="12" width="20" customWidth="1"/>
  </cols>
  <sheetData>
    <row r="1" spans="1:12" ht="27.75" customHeight="1" x14ac:dyDescent="0.25">
      <c r="A1" s="121" t="s">
        <v>61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22"/>
    </row>
    <row r="2" spans="1:12" ht="19.5" customHeight="1" x14ac:dyDescent="0.25">
      <c r="A2" s="100" t="s">
        <v>62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</row>
    <row r="3" spans="1:12" ht="30" customHeight="1" x14ac:dyDescent="0.25">
      <c r="A3" s="124" t="s">
        <v>63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</row>
    <row r="4" spans="1:12" ht="34.5" customHeight="1" x14ac:dyDescent="0.25">
      <c r="A4" s="5" t="s">
        <v>64</v>
      </c>
      <c r="B4" s="5" t="s">
        <v>65</v>
      </c>
      <c r="C4" s="5" t="s">
        <v>66</v>
      </c>
      <c r="D4" s="5" t="s">
        <v>67</v>
      </c>
      <c r="E4" s="5" t="s">
        <v>68</v>
      </c>
      <c r="F4" s="5" t="s">
        <v>69</v>
      </c>
      <c r="G4" s="5" t="s">
        <v>70</v>
      </c>
      <c r="H4" s="5" t="s">
        <v>71</v>
      </c>
      <c r="I4" s="5" t="s">
        <v>72</v>
      </c>
      <c r="J4" s="5" t="s">
        <v>73</v>
      </c>
      <c r="K4" s="5" t="s">
        <v>74</v>
      </c>
      <c r="L4" s="5" t="s">
        <v>75</v>
      </c>
    </row>
    <row r="5" spans="1:12" ht="15" customHeight="1" x14ac:dyDescent="0.25">
      <c r="A5" s="6" t="s">
        <v>76</v>
      </c>
      <c r="B5" s="7" t="s">
        <v>77</v>
      </c>
      <c r="C5" s="8">
        <v>3100</v>
      </c>
      <c r="D5" s="9">
        <f t="shared" ref="D5:D16" si="0">ROUND(C5*0.11,0)</f>
        <v>341</v>
      </c>
      <c r="E5" s="9">
        <f t="shared" ref="E5:E16" si="1">IF(C5&lt;=4000,ROUND(C5*0.005,2),19.75)</f>
        <v>15.5</v>
      </c>
      <c r="F5" s="9">
        <f t="shared" ref="F5:F16" si="2">ROUND(MIN(C5,4000)*0.002,2)</f>
        <v>6.2</v>
      </c>
      <c r="G5" s="10">
        <f t="shared" ref="G5:G16" si="3">C5-D5-E5-F5</f>
        <v>2737.3</v>
      </c>
      <c r="H5" s="8">
        <v>0</v>
      </c>
      <c r="I5" s="10">
        <f>SUM(H5:H5)</f>
        <v>0</v>
      </c>
      <c r="J5" s="11" t="s">
        <v>78</v>
      </c>
      <c r="K5" s="11" t="s">
        <v>79</v>
      </c>
      <c r="L5" s="11" t="s">
        <v>80</v>
      </c>
    </row>
    <row r="6" spans="1:12" ht="15" customHeight="1" x14ac:dyDescent="0.25">
      <c r="A6" s="12" t="s">
        <v>81</v>
      </c>
      <c r="B6" s="13" t="s">
        <v>82</v>
      </c>
      <c r="C6" s="14">
        <v>4500</v>
      </c>
      <c r="D6" s="15">
        <f t="shared" si="0"/>
        <v>495</v>
      </c>
      <c r="E6" s="15">
        <f t="shared" si="1"/>
        <v>19.75</v>
      </c>
      <c r="F6" s="15">
        <f t="shared" si="2"/>
        <v>8</v>
      </c>
      <c r="G6" s="16">
        <f t="shared" si="3"/>
        <v>3977.25</v>
      </c>
      <c r="H6" s="14">
        <v>79.349999999999994</v>
      </c>
      <c r="I6" s="16">
        <f>SUM(H5:H6)</f>
        <v>79.349999999999994</v>
      </c>
      <c r="J6" s="17" t="s">
        <v>83</v>
      </c>
      <c r="K6" s="17" t="s">
        <v>79</v>
      </c>
      <c r="L6" s="17" t="s">
        <v>80</v>
      </c>
    </row>
    <row r="7" spans="1:12" ht="15" customHeight="1" x14ac:dyDescent="0.25">
      <c r="A7" s="6" t="s">
        <v>84</v>
      </c>
      <c r="B7" s="7" t="s">
        <v>85</v>
      </c>
      <c r="C7" s="8">
        <v>4500</v>
      </c>
      <c r="D7" s="9">
        <f t="shared" si="0"/>
        <v>495</v>
      </c>
      <c r="E7" s="9">
        <f t="shared" si="1"/>
        <v>19.75</v>
      </c>
      <c r="F7" s="9">
        <f t="shared" si="2"/>
        <v>8</v>
      </c>
      <c r="G7" s="10">
        <f t="shared" si="3"/>
        <v>3977.25</v>
      </c>
      <c r="H7" s="8">
        <v>79.2</v>
      </c>
      <c r="I7" s="10">
        <f>SUM(H5:H7)</f>
        <v>158.55000000000001</v>
      </c>
      <c r="J7" s="11" t="s">
        <v>86</v>
      </c>
      <c r="K7" s="11" t="s">
        <v>79</v>
      </c>
      <c r="L7" s="11" t="s">
        <v>80</v>
      </c>
    </row>
    <row r="8" spans="1:12" ht="15" customHeight="1" x14ac:dyDescent="0.25">
      <c r="A8" s="12" t="s">
        <v>87</v>
      </c>
      <c r="B8" s="13" t="s">
        <v>88</v>
      </c>
      <c r="C8" s="14">
        <v>4000</v>
      </c>
      <c r="D8" s="15">
        <f t="shared" si="0"/>
        <v>440</v>
      </c>
      <c r="E8" s="15">
        <f t="shared" si="1"/>
        <v>20</v>
      </c>
      <c r="F8" s="15">
        <f t="shared" si="2"/>
        <v>8</v>
      </c>
      <c r="G8" s="16">
        <f t="shared" si="3"/>
        <v>3532</v>
      </c>
      <c r="H8" s="14">
        <v>0</v>
      </c>
      <c r="I8" s="16">
        <f>SUM(H5:H8)</f>
        <v>158.55000000000001</v>
      </c>
      <c r="J8" s="17" t="s">
        <v>89</v>
      </c>
      <c r="K8" s="17" t="s">
        <v>79</v>
      </c>
      <c r="L8" s="17" t="s">
        <v>80</v>
      </c>
    </row>
    <row r="9" spans="1:12" ht="15" customHeight="1" x14ac:dyDescent="0.25">
      <c r="A9" s="6" t="s">
        <v>90</v>
      </c>
      <c r="B9" s="7" t="s">
        <v>91</v>
      </c>
      <c r="C9" s="8">
        <v>4500</v>
      </c>
      <c r="D9" s="9">
        <f t="shared" si="0"/>
        <v>495</v>
      </c>
      <c r="E9" s="9">
        <f t="shared" si="1"/>
        <v>19.75</v>
      </c>
      <c r="F9" s="9">
        <f t="shared" si="2"/>
        <v>8</v>
      </c>
      <c r="G9" s="10">
        <f t="shared" si="3"/>
        <v>3977.25</v>
      </c>
      <c r="H9" s="8">
        <v>468.9</v>
      </c>
      <c r="I9" s="10">
        <f>SUM(H5:H9)</f>
        <v>627.45000000000005</v>
      </c>
      <c r="J9" s="11" t="s">
        <v>92</v>
      </c>
      <c r="K9" s="11" t="s">
        <v>79</v>
      </c>
      <c r="L9" s="11" t="s">
        <v>80</v>
      </c>
    </row>
    <row r="10" spans="1:12" ht="15" customHeight="1" x14ac:dyDescent="0.25">
      <c r="A10" s="12" t="s">
        <v>93</v>
      </c>
      <c r="B10" s="13" t="s">
        <v>94</v>
      </c>
      <c r="C10" s="14">
        <v>4000</v>
      </c>
      <c r="D10" s="15">
        <f t="shared" si="0"/>
        <v>440</v>
      </c>
      <c r="E10" s="15">
        <f t="shared" si="1"/>
        <v>20</v>
      </c>
      <c r="F10" s="15">
        <f t="shared" si="2"/>
        <v>8</v>
      </c>
      <c r="G10" s="16">
        <f t="shared" si="3"/>
        <v>3532</v>
      </c>
      <c r="H10" s="14">
        <v>0</v>
      </c>
      <c r="I10" s="16">
        <f>SUM(H5:H10)</f>
        <v>627.45000000000005</v>
      </c>
      <c r="J10" s="17" t="s">
        <v>95</v>
      </c>
      <c r="K10" s="17" t="s">
        <v>79</v>
      </c>
      <c r="L10" s="17" t="s">
        <v>80</v>
      </c>
    </row>
    <row r="11" spans="1:12" ht="15" customHeight="1" x14ac:dyDescent="0.25">
      <c r="A11" s="6" t="s">
        <v>96</v>
      </c>
      <c r="B11" s="18" t="s">
        <v>97</v>
      </c>
      <c r="C11" s="19">
        <v>4500</v>
      </c>
      <c r="D11" s="9">
        <f t="shared" si="0"/>
        <v>495</v>
      </c>
      <c r="E11" s="9">
        <f t="shared" si="1"/>
        <v>19.75</v>
      </c>
      <c r="F11" s="9">
        <f t="shared" si="2"/>
        <v>8</v>
      </c>
      <c r="G11" s="10">
        <f t="shared" si="3"/>
        <v>3977.25</v>
      </c>
      <c r="H11" s="19">
        <v>0</v>
      </c>
      <c r="I11" s="10">
        <f>SUM(H5:H11)</f>
        <v>627.45000000000005</v>
      </c>
      <c r="J11" s="11" t="s">
        <v>98</v>
      </c>
      <c r="K11" s="11" t="s">
        <v>99</v>
      </c>
      <c r="L11" s="11" t="s">
        <v>100</v>
      </c>
    </row>
    <row r="12" spans="1:12" ht="15" customHeight="1" x14ac:dyDescent="0.25">
      <c r="A12" s="12" t="s">
        <v>101</v>
      </c>
      <c r="B12" s="18" t="s">
        <v>102</v>
      </c>
      <c r="C12" s="19">
        <v>4500</v>
      </c>
      <c r="D12" s="15">
        <f t="shared" si="0"/>
        <v>495</v>
      </c>
      <c r="E12" s="15">
        <f t="shared" si="1"/>
        <v>19.75</v>
      </c>
      <c r="F12" s="15">
        <f t="shared" si="2"/>
        <v>8</v>
      </c>
      <c r="G12" s="16">
        <f t="shared" si="3"/>
        <v>3977.25</v>
      </c>
      <c r="H12" s="19">
        <v>0</v>
      </c>
      <c r="I12" s="16">
        <f>SUM(H5:H12)</f>
        <v>627.45000000000005</v>
      </c>
      <c r="J12" s="17" t="s">
        <v>103</v>
      </c>
      <c r="K12" s="17" t="s">
        <v>99</v>
      </c>
      <c r="L12" s="17" t="s">
        <v>100</v>
      </c>
    </row>
    <row r="13" spans="1:12" ht="15" customHeight="1" x14ac:dyDescent="0.25">
      <c r="A13" s="6" t="s">
        <v>104</v>
      </c>
      <c r="B13" s="18" t="s">
        <v>105</v>
      </c>
      <c r="C13" s="19">
        <v>4500</v>
      </c>
      <c r="D13" s="9">
        <f t="shared" si="0"/>
        <v>495</v>
      </c>
      <c r="E13" s="9">
        <f t="shared" si="1"/>
        <v>19.75</v>
      </c>
      <c r="F13" s="9">
        <f t="shared" si="2"/>
        <v>8</v>
      </c>
      <c r="G13" s="10">
        <f t="shared" si="3"/>
        <v>3977.25</v>
      </c>
      <c r="H13" s="19">
        <v>0</v>
      </c>
      <c r="I13" s="10">
        <f>SUM(H5:H13)</f>
        <v>627.45000000000005</v>
      </c>
      <c r="J13" s="11" t="s">
        <v>106</v>
      </c>
      <c r="K13" s="11" t="s">
        <v>99</v>
      </c>
      <c r="L13" s="11" t="s">
        <v>100</v>
      </c>
    </row>
    <row r="14" spans="1:12" ht="15" customHeight="1" x14ac:dyDescent="0.25">
      <c r="A14" s="12" t="s">
        <v>107</v>
      </c>
      <c r="B14" s="18" t="s">
        <v>108</v>
      </c>
      <c r="C14" s="19">
        <v>4500</v>
      </c>
      <c r="D14" s="15">
        <f t="shared" si="0"/>
        <v>495</v>
      </c>
      <c r="E14" s="15">
        <f t="shared" si="1"/>
        <v>19.75</v>
      </c>
      <c r="F14" s="15">
        <f t="shared" si="2"/>
        <v>8</v>
      </c>
      <c r="G14" s="16">
        <f t="shared" si="3"/>
        <v>3977.25</v>
      </c>
      <c r="H14" s="19">
        <v>0</v>
      </c>
      <c r="I14" s="16">
        <f>SUM(H5:H14)</f>
        <v>627.45000000000005</v>
      </c>
      <c r="J14" s="17" t="s">
        <v>109</v>
      </c>
      <c r="K14" s="17" t="s">
        <v>99</v>
      </c>
      <c r="L14" s="17" t="s">
        <v>100</v>
      </c>
    </row>
    <row r="15" spans="1:12" ht="15" customHeight="1" x14ac:dyDescent="0.25">
      <c r="A15" s="6" t="s">
        <v>110</v>
      </c>
      <c r="B15" s="18" t="s">
        <v>111</v>
      </c>
      <c r="C15" s="19">
        <v>4500</v>
      </c>
      <c r="D15" s="9">
        <f t="shared" si="0"/>
        <v>495</v>
      </c>
      <c r="E15" s="9">
        <f t="shared" si="1"/>
        <v>19.75</v>
      </c>
      <c r="F15" s="9">
        <f t="shared" si="2"/>
        <v>8</v>
      </c>
      <c r="G15" s="10">
        <f t="shared" si="3"/>
        <v>3977.25</v>
      </c>
      <c r="H15" s="19">
        <v>0</v>
      </c>
      <c r="I15" s="10">
        <f>SUM(H5:H15)</f>
        <v>627.45000000000005</v>
      </c>
      <c r="J15" s="11" t="s">
        <v>112</v>
      </c>
      <c r="K15" s="11" t="s">
        <v>99</v>
      </c>
      <c r="L15" s="11" t="s">
        <v>100</v>
      </c>
    </row>
    <row r="16" spans="1:12" ht="15" customHeight="1" x14ac:dyDescent="0.25">
      <c r="A16" s="12" t="s">
        <v>113</v>
      </c>
      <c r="B16" s="18" t="s">
        <v>114</v>
      </c>
      <c r="C16" s="19">
        <v>4500</v>
      </c>
      <c r="D16" s="15">
        <f t="shared" si="0"/>
        <v>495</v>
      </c>
      <c r="E16" s="15">
        <f t="shared" si="1"/>
        <v>19.75</v>
      </c>
      <c r="F16" s="15">
        <f t="shared" si="2"/>
        <v>8</v>
      </c>
      <c r="G16" s="16">
        <f t="shared" si="3"/>
        <v>3977.25</v>
      </c>
      <c r="H16" s="19">
        <v>0</v>
      </c>
      <c r="I16" s="16">
        <f>SUM(H5:H16)</f>
        <v>627.45000000000005</v>
      </c>
      <c r="J16" s="17" t="s">
        <v>115</v>
      </c>
      <c r="K16" s="17" t="s">
        <v>99</v>
      </c>
      <c r="L16" s="17" t="s">
        <v>100</v>
      </c>
    </row>
    <row r="17" spans="1:12" ht="21.75" customHeight="1" x14ac:dyDescent="0.25">
      <c r="A17" s="20" t="s">
        <v>116</v>
      </c>
      <c r="B17" s="21"/>
      <c r="C17" s="21">
        <f t="shared" ref="C17:H17" si="4">SUM(C5:C16)</f>
        <v>51600</v>
      </c>
      <c r="D17" s="21">
        <f t="shared" si="4"/>
        <v>5676</v>
      </c>
      <c r="E17" s="21">
        <f t="shared" si="4"/>
        <v>233.25</v>
      </c>
      <c r="F17" s="21">
        <f t="shared" si="4"/>
        <v>94.2</v>
      </c>
      <c r="G17" s="21">
        <f t="shared" si="4"/>
        <v>45596.55</v>
      </c>
      <c r="H17" s="21">
        <f t="shared" si="4"/>
        <v>627.45000000000005</v>
      </c>
      <c r="I17" s="21">
        <f>H16</f>
        <v>0</v>
      </c>
    </row>
    <row r="19" spans="1:12" ht="15" customHeight="1" x14ac:dyDescent="0.25">
      <c r="A19" s="119" t="s">
        <v>117</v>
      </c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</row>
    <row r="20" spans="1:12" ht="19.5" customHeight="1" x14ac:dyDescent="0.25">
      <c r="A20" s="3" t="s">
        <v>118</v>
      </c>
      <c r="B20" s="123" t="s">
        <v>119</v>
      </c>
      <c r="C20" s="99"/>
      <c r="D20" s="99"/>
      <c r="E20" s="99"/>
      <c r="F20" s="99"/>
      <c r="G20" s="99"/>
      <c r="H20" s="99"/>
      <c r="I20" s="99"/>
      <c r="J20" s="99"/>
      <c r="K20" s="99"/>
      <c r="L20" s="99"/>
    </row>
    <row r="21" spans="1:12" ht="19.5" customHeight="1" x14ac:dyDescent="0.25">
      <c r="A21" s="4" t="s">
        <v>120</v>
      </c>
      <c r="B21" s="120" t="s">
        <v>121</v>
      </c>
      <c r="C21" s="99"/>
      <c r="D21" s="99"/>
      <c r="E21" s="99"/>
      <c r="F21" s="99"/>
      <c r="G21" s="99"/>
      <c r="H21" s="99"/>
      <c r="I21" s="99"/>
      <c r="J21" s="99"/>
      <c r="K21" s="99"/>
      <c r="L21" s="99"/>
    </row>
    <row r="22" spans="1:12" ht="19.5" customHeight="1" x14ac:dyDescent="0.25">
      <c r="A22" s="3" t="s">
        <v>122</v>
      </c>
      <c r="B22" s="123" t="s">
        <v>123</v>
      </c>
      <c r="C22" s="99"/>
      <c r="D22" s="99"/>
      <c r="E22" s="99"/>
      <c r="F22" s="99"/>
      <c r="G22" s="99"/>
      <c r="H22" s="99"/>
      <c r="I22" s="99"/>
      <c r="J22" s="99"/>
      <c r="K22" s="99"/>
      <c r="L22" s="99"/>
    </row>
    <row r="23" spans="1:12" ht="19.5" customHeight="1" x14ac:dyDescent="0.25">
      <c r="A23" s="4" t="s">
        <v>124</v>
      </c>
      <c r="B23" s="120" t="s">
        <v>125</v>
      </c>
      <c r="C23" s="99"/>
      <c r="D23" s="99"/>
      <c r="E23" s="99"/>
      <c r="F23" s="99"/>
      <c r="G23" s="99"/>
      <c r="H23" s="99"/>
      <c r="I23" s="99"/>
      <c r="J23" s="99"/>
      <c r="K23" s="99"/>
      <c r="L23" s="99"/>
    </row>
    <row r="24" spans="1:12" ht="19.5" customHeight="1" x14ac:dyDescent="0.25">
      <c r="A24" s="3" t="s">
        <v>126</v>
      </c>
      <c r="B24" s="123" t="s">
        <v>127</v>
      </c>
      <c r="C24" s="99"/>
      <c r="D24" s="99"/>
      <c r="E24" s="99"/>
      <c r="F24" s="99"/>
      <c r="G24" s="99"/>
      <c r="H24" s="99"/>
      <c r="I24" s="99"/>
      <c r="J24" s="99"/>
      <c r="K24" s="99"/>
      <c r="L24" s="99"/>
    </row>
  </sheetData>
  <mergeCells count="9">
    <mergeCell ref="A2:L2"/>
    <mergeCell ref="B21:L21"/>
    <mergeCell ref="A19:L19"/>
    <mergeCell ref="A1:L1"/>
    <mergeCell ref="B24:L24"/>
    <mergeCell ref="B20:L20"/>
    <mergeCell ref="B22:L22"/>
    <mergeCell ref="A3:L3"/>
    <mergeCell ref="B23:L2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3"/>
  <sheetViews>
    <sheetView showGridLines="0" zoomScaleNormal="100" workbookViewId="0">
      <pane ySplit="4" topLeftCell="A14" activePane="bottomLeft" state="frozen"/>
      <selection pane="bottomLeft" activeCell="L15" sqref="L15"/>
    </sheetView>
  </sheetViews>
  <sheetFormatPr defaultColWidth="8.7109375" defaultRowHeight="15" x14ac:dyDescent="0.25"/>
  <cols>
    <col min="1" max="1" width="12" customWidth="1"/>
    <col min="2" max="2" width="14" customWidth="1"/>
    <col min="3" max="3" width="22" customWidth="1"/>
    <col min="4" max="4" width="28" customWidth="1"/>
    <col min="5" max="8" width="16" customWidth="1"/>
    <col min="9" max="9" width="20" customWidth="1"/>
    <col min="10" max="10" width="16" customWidth="1"/>
  </cols>
  <sheetData>
    <row r="1" spans="1:10" ht="27.75" customHeight="1" x14ac:dyDescent="0.25">
      <c r="A1" s="102" t="s">
        <v>128</v>
      </c>
      <c r="B1" s="101"/>
      <c r="C1" s="101"/>
      <c r="D1" s="101"/>
      <c r="E1" s="101"/>
      <c r="F1" s="101"/>
      <c r="G1" s="101"/>
      <c r="H1" s="101"/>
      <c r="I1" s="101"/>
      <c r="J1" s="101"/>
    </row>
    <row r="2" spans="1:10" ht="19.5" customHeight="1" x14ac:dyDescent="0.25">
      <c r="A2" s="100" t="s">
        <v>129</v>
      </c>
      <c r="B2" s="101"/>
      <c r="C2" s="101"/>
      <c r="D2" s="101"/>
      <c r="E2" s="101"/>
      <c r="F2" s="101"/>
      <c r="G2" s="101"/>
      <c r="H2" s="101"/>
      <c r="I2" s="101"/>
      <c r="J2" s="101"/>
    </row>
    <row r="3" spans="1:10" ht="30" customHeight="1" x14ac:dyDescent="0.25">
      <c r="A3" s="124" t="s">
        <v>130</v>
      </c>
      <c r="B3" s="104"/>
      <c r="C3" s="104"/>
      <c r="D3" s="104"/>
      <c r="E3" s="104"/>
      <c r="F3" s="104"/>
      <c r="G3" s="104"/>
      <c r="H3" s="104"/>
      <c r="I3" s="104"/>
      <c r="J3" s="104"/>
    </row>
    <row r="4" spans="1:10" ht="34.5" customHeight="1" x14ac:dyDescent="0.25">
      <c r="A4" s="5" t="s">
        <v>64</v>
      </c>
      <c r="B4" s="5" t="s">
        <v>131</v>
      </c>
      <c r="C4" s="5" t="s">
        <v>132</v>
      </c>
      <c r="D4" s="5" t="s">
        <v>133</v>
      </c>
      <c r="E4" s="5" t="s">
        <v>134</v>
      </c>
      <c r="F4" s="5" t="s">
        <v>135</v>
      </c>
      <c r="G4" s="5" t="s">
        <v>136</v>
      </c>
      <c r="H4" s="5" t="s">
        <v>137</v>
      </c>
      <c r="I4" s="5" t="s">
        <v>138</v>
      </c>
      <c r="J4" s="5" t="s">
        <v>75</v>
      </c>
    </row>
    <row r="5" spans="1:10" ht="15" customHeight="1" x14ac:dyDescent="0.25">
      <c r="A5" s="22" t="s">
        <v>76</v>
      </c>
      <c r="B5" s="23" t="s">
        <v>139</v>
      </c>
      <c r="C5" s="24" t="s">
        <v>140</v>
      </c>
      <c r="D5" s="24" t="s">
        <v>141</v>
      </c>
      <c r="E5" s="8">
        <v>333.33</v>
      </c>
      <c r="F5" s="22" t="s">
        <v>142</v>
      </c>
      <c r="G5" s="22" t="s">
        <v>143</v>
      </c>
      <c r="H5" s="22" t="s">
        <v>144</v>
      </c>
      <c r="I5" s="22" t="s">
        <v>145</v>
      </c>
      <c r="J5" s="22" t="s">
        <v>146</v>
      </c>
    </row>
    <row r="6" spans="1:10" ht="15" customHeight="1" x14ac:dyDescent="0.25">
      <c r="A6" s="25" t="s">
        <v>81</v>
      </c>
      <c r="B6" s="26" t="s">
        <v>82</v>
      </c>
      <c r="C6" s="27" t="s">
        <v>147</v>
      </c>
      <c r="D6" s="27" t="s">
        <v>148</v>
      </c>
      <c r="E6" s="14">
        <v>100</v>
      </c>
      <c r="F6" s="25" t="s">
        <v>142</v>
      </c>
      <c r="G6" s="25" t="s">
        <v>143</v>
      </c>
      <c r="H6" s="25" t="s">
        <v>144</v>
      </c>
      <c r="I6" s="25" t="s">
        <v>149</v>
      </c>
      <c r="J6" s="25"/>
    </row>
    <row r="7" spans="1:10" ht="15" customHeight="1" x14ac:dyDescent="0.25">
      <c r="A7" s="22" t="s">
        <v>81</v>
      </c>
      <c r="B7" s="23" t="s">
        <v>150</v>
      </c>
      <c r="C7" s="24" t="s">
        <v>147</v>
      </c>
      <c r="D7" s="24" t="s">
        <v>151</v>
      </c>
      <c r="E7" s="8">
        <v>900</v>
      </c>
      <c r="F7" s="22" t="s">
        <v>142</v>
      </c>
      <c r="G7" s="22" t="s">
        <v>143</v>
      </c>
      <c r="H7" s="22" t="s">
        <v>144</v>
      </c>
      <c r="I7" s="22" t="s">
        <v>152</v>
      </c>
      <c r="J7" s="22"/>
    </row>
    <row r="8" spans="1:10" ht="15" customHeight="1" x14ac:dyDescent="0.25">
      <c r="A8" s="25" t="s">
        <v>81</v>
      </c>
      <c r="B8" s="26" t="s">
        <v>153</v>
      </c>
      <c r="C8" s="27" t="s">
        <v>154</v>
      </c>
      <c r="D8" s="27" t="s">
        <v>155</v>
      </c>
      <c r="E8" s="14">
        <v>1000</v>
      </c>
      <c r="F8" s="25" t="s">
        <v>156</v>
      </c>
      <c r="G8" s="25" t="s">
        <v>143</v>
      </c>
      <c r="H8" s="25" t="s">
        <v>144</v>
      </c>
      <c r="I8" s="25" t="s">
        <v>157</v>
      </c>
      <c r="J8" s="25"/>
    </row>
    <row r="9" spans="1:10" ht="15" customHeight="1" x14ac:dyDescent="0.25">
      <c r="A9" s="25" t="s">
        <v>84</v>
      </c>
      <c r="B9" s="26" t="s">
        <v>85</v>
      </c>
      <c r="C9" s="27" t="s">
        <v>154</v>
      </c>
      <c r="D9" s="27" t="s">
        <v>155</v>
      </c>
      <c r="E9" s="14">
        <v>1000</v>
      </c>
      <c r="F9" s="25" t="s">
        <v>142</v>
      </c>
      <c r="G9" s="25" t="s">
        <v>143</v>
      </c>
      <c r="H9" s="25" t="s">
        <v>144</v>
      </c>
      <c r="I9" s="25" t="s">
        <v>158</v>
      </c>
      <c r="J9" s="25"/>
    </row>
    <row r="10" spans="1:10" ht="15" customHeight="1" x14ac:dyDescent="0.25">
      <c r="A10" s="22" t="s">
        <v>84</v>
      </c>
      <c r="B10" s="23" t="s">
        <v>159</v>
      </c>
      <c r="C10" s="24" t="s">
        <v>154</v>
      </c>
      <c r="D10" s="24" t="s">
        <v>160</v>
      </c>
      <c r="E10" s="8">
        <v>1110.8</v>
      </c>
      <c r="F10" s="22" t="s">
        <v>156</v>
      </c>
      <c r="G10" s="22" t="s">
        <v>143</v>
      </c>
      <c r="H10" s="22" t="s">
        <v>144</v>
      </c>
      <c r="I10" s="22" t="s">
        <v>161</v>
      </c>
      <c r="J10" s="22"/>
    </row>
    <row r="11" spans="1:10" ht="15" customHeight="1" x14ac:dyDescent="0.25">
      <c r="A11" s="25" t="s">
        <v>87</v>
      </c>
      <c r="B11" s="26" t="s">
        <v>88</v>
      </c>
      <c r="C11" s="27" t="s">
        <v>154</v>
      </c>
      <c r="D11" s="27" t="s">
        <v>162</v>
      </c>
      <c r="E11" s="14">
        <v>1000</v>
      </c>
      <c r="F11" s="25" t="s">
        <v>142</v>
      </c>
      <c r="G11" s="25" t="s">
        <v>143</v>
      </c>
      <c r="H11" s="25" t="s">
        <v>144</v>
      </c>
      <c r="I11" s="25" t="s">
        <v>163</v>
      </c>
      <c r="J11" s="25"/>
    </row>
    <row r="12" spans="1:10" ht="15" customHeight="1" x14ac:dyDescent="0.25">
      <c r="A12" s="22" t="s">
        <v>87</v>
      </c>
      <c r="B12" s="23" t="s">
        <v>164</v>
      </c>
      <c r="C12" s="24" t="s">
        <v>154</v>
      </c>
      <c r="D12" s="24" t="s">
        <v>165</v>
      </c>
      <c r="E12" s="8">
        <v>1000</v>
      </c>
      <c r="F12" s="22" t="s">
        <v>156</v>
      </c>
      <c r="G12" s="22" t="s">
        <v>143</v>
      </c>
      <c r="H12" s="22" t="s">
        <v>144</v>
      </c>
      <c r="I12" s="22" t="s">
        <v>166</v>
      </c>
      <c r="J12" s="22"/>
    </row>
    <row r="13" spans="1:10" ht="15" customHeight="1" x14ac:dyDescent="0.25">
      <c r="A13" s="25" t="s">
        <v>90</v>
      </c>
      <c r="B13" s="26" t="s">
        <v>167</v>
      </c>
      <c r="C13" s="27" t="s">
        <v>147</v>
      </c>
      <c r="D13" s="27" t="s">
        <v>168</v>
      </c>
      <c r="E13" s="14">
        <v>1000</v>
      </c>
      <c r="F13" s="25" t="s">
        <v>142</v>
      </c>
      <c r="G13" s="25" t="s">
        <v>143</v>
      </c>
      <c r="H13" s="25" t="s">
        <v>144</v>
      </c>
      <c r="I13" s="25" t="s">
        <v>169</v>
      </c>
      <c r="J13" s="25"/>
    </row>
    <row r="14" spans="1:10" ht="15" customHeight="1" x14ac:dyDescent="0.25">
      <c r="A14" s="22" t="s">
        <v>90</v>
      </c>
      <c r="B14" s="23" t="s">
        <v>170</v>
      </c>
      <c r="C14" s="24" t="s">
        <v>154</v>
      </c>
      <c r="D14" s="24" t="s">
        <v>171</v>
      </c>
      <c r="E14" s="8">
        <v>1000</v>
      </c>
      <c r="F14" s="22" t="s">
        <v>156</v>
      </c>
      <c r="G14" s="22" t="s">
        <v>143</v>
      </c>
      <c r="H14" s="22" t="s">
        <v>144</v>
      </c>
      <c r="I14" s="22" t="s">
        <v>172</v>
      </c>
      <c r="J14" s="22"/>
    </row>
    <row r="15" spans="1:10" ht="15" customHeight="1" x14ac:dyDescent="0.25">
      <c r="A15" s="25" t="s">
        <v>93</v>
      </c>
      <c r="B15" s="26" t="s">
        <v>94</v>
      </c>
      <c r="C15" s="27" t="s">
        <v>154</v>
      </c>
      <c r="D15" s="27" t="s">
        <v>173</v>
      </c>
      <c r="E15" s="14">
        <v>1638.11</v>
      </c>
      <c r="F15" s="25" t="s">
        <v>142</v>
      </c>
      <c r="G15" s="25" t="s">
        <v>143</v>
      </c>
      <c r="H15" s="25" t="s">
        <v>144</v>
      </c>
      <c r="I15" s="25" t="s">
        <v>174</v>
      </c>
      <c r="J15" s="25"/>
    </row>
    <row r="16" spans="1:10" ht="15" customHeight="1" x14ac:dyDescent="0.25">
      <c r="A16" t="s">
        <v>96</v>
      </c>
      <c r="B16" s="29"/>
      <c r="C16" s="29"/>
      <c r="D16" s="29"/>
      <c r="E16" s="29"/>
      <c r="F16" s="29"/>
      <c r="G16" s="29"/>
      <c r="H16" s="29"/>
      <c r="I16" s="29"/>
      <c r="J16" s="29"/>
    </row>
    <row r="17" spans="1:10" ht="15" customHeight="1" x14ac:dyDescent="0.25">
      <c r="A17" t="s">
        <v>96</v>
      </c>
      <c r="B17" s="29"/>
      <c r="C17" s="29"/>
      <c r="D17" s="29"/>
      <c r="E17" s="29"/>
      <c r="F17" s="29"/>
      <c r="G17" s="29"/>
      <c r="H17" s="29"/>
      <c r="I17" s="29"/>
      <c r="J17" s="29"/>
    </row>
    <row r="18" spans="1:10" ht="15" customHeight="1" x14ac:dyDescent="0.25">
      <c r="A18" t="s">
        <v>101</v>
      </c>
      <c r="B18" s="29"/>
      <c r="C18" s="29"/>
      <c r="D18" s="29"/>
      <c r="E18" s="29"/>
      <c r="F18" s="29"/>
      <c r="G18" s="29"/>
      <c r="H18" s="29"/>
      <c r="I18" s="29"/>
      <c r="J18" s="29"/>
    </row>
    <row r="19" spans="1:10" ht="15" customHeight="1" x14ac:dyDescent="0.25">
      <c r="A19" t="s">
        <v>101</v>
      </c>
      <c r="B19" s="29"/>
      <c r="C19" s="29"/>
      <c r="D19" s="29"/>
      <c r="E19" s="29"/>
      <c r="F19" s="29"/>
      <c r="G19" s="29"/>
      <c r="H19" s="29"/>
      <c r="I19" s="29"/>
      <c r="J19" s="29"/>
    </row>
    <row r="20" spans="1:10" ht="15" customHeight="1" x14ac:dyDescent="0.25">
      <c r="A20" t="s">
        <v>104</v>
      </c>
      <c r="B20" s="29"/>
      <c r="C20" s="29"/>
      <c r="D20" s="29"/>
      <c r="E20" s="29"/>
      <c r="F20" s="29"/>
      <c r="G20" s="29"/>
      <c r="H20" s="29"/>
      <c r="I20" s="29"/>
      <c r="J20" s="29"/>
    </row>
    <row r="21" spans="1:10" ht="15" customHeight="1" x14ac:dyDescent="0.25">
      <c r="A21" t="s">
        <v>104</v>
      </c>
      <c r="B21" s="29"/>
      <c r="C21" s="29"/>
      <c r="D21" s="29"/>
      <c r="E21" s="29"/>
      <c r="F21" s="29"/>
      <c r="G21" s="29"/>
      <c r="H21" s="29"/>
      <c r="I21" s="29"/>
      <c r="J21" s="29"/>
    </row>
    <row r="22" spans="1:10" ht="15" customHeight="1" x14ac:dyDescent="0.25">
      <c r="A22" t="s">
        <v>107</v>
      </c>
      <c r="B22" s="29"/>
      <c r="C22" s="29"/>
      <c r="D22" s="29"/>
      <c r="E22" s="29"/>
      <c r="F22" s="29"/>
      <c r="G22" s="29"/>
      <c r="H22" s="29"/>
      <c r="I22" s="29"/>
      <c r="J22" s="29"/>
    </row>
    <row r="23" spans="1:10" ht="15" customHeight="1" x14ac:dyDescent="0.25">
      <c r="A23" t="s">
        <v>107</v>
      </c>
      <c r="B23" s="29"/>
      <c r="C23" s="29"/>
      <c r="D23" s="29"/>
      <c r="E23" s="29"/>
      <c r="F23" s="29"/>
      <c r="G23" s="29"/>
      <c r="H23" s="29"/>
      <c r="I23" s="29"/>
      <c r="J23" s="29"/>
    </row>
    <row r="24" spans="1:10" ht="15" customHeight="1" x14ac:dyDescent="0.25">
      <c r="A24" t="s">
        <v>110</v>
      </c>
      <c r="B24" s="29"/>
      <c r="C24" s="29"/>
      <c r="D24" s="29"/>
      <c r="E24" s="29"/>
      <c r="F24" s="29"/>
      <c r="G24" s="29"/>
      <c r="H24" s="29"/>
      <c r="I24" s="29"/>
      <c r="J24" s="29"/>
    </row>
    <row r="25" spans="1:10" ht="15" customHeight="1" x14ac:dyDescent="0.25">
      <c r="A25" t="s">
        <v>110</v>
      </c>
      <c r="B25" s="29"/>
      <c r="C25" s="29"/>
      <c r="D25" s="29"/>
      <c r="E25" s="29"/>
      <c r="F25" s="29"/>
      <c r="G25" s="29"/>
      <c r="H25" s="29"/>
      <c r="I25" s="29"/>
      <c r="J25" s="29"/>
    </row>
    <row r="26" spans="1:10" ht="15" customHeight="1" x14ac:dyDescent="0.25">
      <c r="A26" t="s">
        <v>113</v>
      </c>
      <c r="B26" s="29"/>
      <c r="C26" s="29"/>
      <c r="D26" s="29"/>
      <c r="E26" s="29"/>
      <c r="F26" s="29"/>
      <c r="G26" s="29"/>
      <c r="H26" s="29"/>
      <c r="I26" s="29"/>
      <c r="J26" s="29"/>
    </row>
    <row r="27" spans="1:10" ht="15" customHeight="1" x14ac:dyDescent="0.25">
      <c r="A27" t="s">
        <v>113</v>
      </c>
      <c r="B27" s="29"/>
      <c r="C27" s="29"/>
      <c r="D27" s="29"/>
      <c r="E27" s="29"/>
      <c r="F27" s="29"/>
      <c r="G27" s="29"/>
      <c r="H27" s="29"/>
      <c r="I27" s="29"/>
      <c r="J27" s="29"/>
    </row>
    <row r="29" spans="1:10" ht="21.75" customHeight="1" x14ac:dyDescent="0.25">
      <c r="A29" s="20" t="s">
        <v>175</v>
      </c>
      <c r="B29" s="20"/>
      <c r="C29" s="20"/>
      <c r="D29" s="20"/>
      <c r="E29" s="21">
        <f>SUMIF(G5:G28,"Work",E5:E28)</f>
        <v>10082.240000000002</v>
      </c>
      <c r="F29" s="20"/>
      <c r="G29" s="20"/>
      <c r="H29" s="20"/>
      <c r="I29" s="20"/>
      <c r="J29" s="20"/>
    </row>
    <row r="31" spans="1:10" ht="15" customHeight="1" x14ac:dyDescent="0.25">
      <c r="A31" s="119" t="s">
        <v>176</v>
      </c>
      <c r="B31" s="99"/>
      <c r="C31" s="99"/>
      <c r="D31" s="99"/>
      <c r="E31" s="99"/>
      <c r="F31" s="99"/>
      <c r="G31" s="99"/>
      <c r="H31" s="99"/>
      <c r="I31" s="99"/>
      <c r="J31" s="99"/>
    </row>
    <row r="32" spans="1:10" ht="15" customHeight="1" x14ac:dyDescent="0.25">
      <c r="A32" s="6" t="s">
        <v>76</v>
      </c>
      <c r="B32" s="9">
        <f>SUMIFS(E5:E28,A5:A28,A32,G5:G28,"Work")</f>
        <v>333.33</v>
      </c>
      <c r="C32" s="22">
        <f>COUNTIFS(A5:A28,A32,G5:G28,"Work")</f>
        <v>1</v>
      </c>
      <c r="D32" s="22" t="s">
        <v>177</v>
      </c>
    </row>
    <row r="33" spans="1:4" ht="15" customHeight="1" x14ac:dyDescent="0.25">
      <c r="A33" s="12" t="s">
        <v>81</v>
      </c>
      <c r="B33" s="15">
        <f>SUMIFS(E5:E28,A5:A28,A33,G5:G28,"Work")</f>
        <v>2000</v>
      </c>
      <c r="C33" s="25">
        <f>COUNTIFS(A5:A28,A33,G5:G28,"Work")</f>
        <v>3</v>
      </c>
      <c r="D33" s="25" t="s">
        <v>177</v>
      </c>
    </row>
    <row r="34" spans="1:4" ht="15" customHeight="1" x14ac:dyDescent="0.25">
      <c r="A34" s="6" t="s">
        <v>84</v>
      </c>
      <c r="B34" s="9">
        <f>SUMIFS(E5:E28,A5:A28,A34,G5:G28,"Work")</f>
        <v>2110.8000000000002</v>
      </c>
      <c r="C34" s="22">
        <f>COUNTIFS(A5:A28,A34,G5:G28,"Work")</f>
        <v>2</v>
      </c>
      <c r="D34" s="22" t="s">
        <v>177</v>
      </c>
    </row>
    <row r="35" spans="1:4" ht="15" customHeight="1" x14ac:dyDescent="0.25">
      <c r="A35" s="12" t="s">
        <v>87</v>
      </c>
      <c r="B35" s="15">
        <f>SUMIFS(E5:E28,A5:A28,A35,G5:G28,"Work")</f>
        <v>2000</v>
      </c>
      <c r="C35" s="25">
        <f>COUNTIFS(A5:A28,A35,G5:G28,"Work")</f>
        <v>2</v>
      </c>
      <c r="D35" s="25" t="s">
        <v>177</v>
      </c>
    </row>
    <row r="36" spans="1:4" ht="15" customHeight="1" x14ac:dyDescent="0.25">
      <c r="A36" s="6" t="s">
        <v>90</v>
      </c>
      <c r="B36" s="9">
        <f>SUMIFS(E5:E28,A5:A28,A36,G5:G28,"Work")</f>
        <v>2000</v>
      </c>
      <c r="C36" s="22">
        <f>COUNTIFS(A5:A28,A36,G5:G28,"Work")</f>
        <v>2</v>
      </c>
      <c r="D36" s="22" t="s">
        <v>177</v>
      </c>
    </row>
    <row r="37" spans="1:4" ht="15" customHeight="1" x14ac:dyDescent="0.25">
      <c r="A37" s="12" t="s">
        <v>93</v>
      </c>
      <c r="B37" s="15">
        <f>SUMIFS(E5:E28,A5:A28,A37,G5:G28,"Work")</f>
        <v>1638.11</v>
      </c>
      <c r="C37" s="25">
        <f>COUNTIFS(A5:A28,A37,G5:G28,"Work")</f>
        <v>1</v>
      </c>
      <c r="D37" s="25" t="s">
        <v>177</v>
      </c>
    </row>
    <row r="38" spans="1:4" ht="15" customHeight="1" x14ac:dyDescent="0.25">
      <c r="A38" s="6" t="s">
        <v>96</v>
      </c>
      <c r="B38" s="9">
        <f>SUMIFS(E5:E28,A5:A28,A38,G5:G28,"Work")</f>
        <v>0</v>
      </c>
      <c r="C38" s="22">
        <f>COUNTIFS(A5:A28,A38,G5:G28,"Work")</f>
        <v>0</v>
      </c>
      <c r="D38" s="22" t="s">
        <v>177</v>
      </c>
    </row>
    <row r="39" spans="1:4" ht="15" customHeight="1" x14ac:dyDescent="0.25">
      <c r="A39" s="12" t="s">
        <v>101</v>
      </c>
      <c r="B39" s="15">
        <f>SUMIFS(E5:E28,A5:A28,A39,G5:G28,"Work")</f>
        <v>0</v>
      </c>
      <c r="C39" s="25">
        <f>COUNTIFS(A5:A28,A39,G5:G28,"Work")</f>
        <v>0</v>
      </c>
      <c r="D39" s="25" t="s">
        <v>177</v>
      </c>
    </row>
    <row r="40" spans="1:4" ht="15" customHeight="1" x14ac:dyDescent="0.25">
      <c r="A40" s="6" t="s">
        <v>104</v>
      </c>
      <c r="B40" s="9">
        <f>SUMIFS(E5:E28,A5:A28,A40,G5:G28,"Work")</f>
        <v>0</v>
      </c>
      <c r="C40" s="22">
        <f>COUNTIFS(A5:A28,A40,G5:G28,"Work")</f>
        <v>0</v>
      </c>
      <c r="D40" s="22" t="s">
        <v>177</v>
      </c>
    </row>
    <row r="41" spans="1:4" ht="15" customHeight="1" x14ac:dyDescent="0.25">
      <c r="A41" s="12" t="s">
        <v>107</v>
      </c>
      <c r="B41" s="15">
        <f>SUMIFS(E5:E28,A5:A28,A41,G5:G28,"Work")</f>
        <v>0</v>
      </c>
      <c r="C41" s="25">
        <f>COUNTIFS(A5:A28,A41,G5:G28,"Work")</f>
        <v>0</v>
      </c>
      <c r="D41" s="25" t="s">
        <v>177</v>
      </c>
    </row>
    <row r="42" spans="1:4" ht="15" customHeight="1" x14ac:dyDescent="0.25">
      <c r="A42" s="6" t="s">
        <v>110</v>
      </c>
      <c r="B42" s="9">
        <f>SUMIFS(E5:E28,A5:A28,A42,G5:G28,"Work")</f>
        <v>0</v>
      </c>
      <c r="C42" s="22">
        <f>COUNTIFS(A5:A28,A42,G5:G28,"Work")</f>
        <v>0</v>
      </c>
      <c r="D42" s="22" t="s">
        <v>177</v>
      </c>
    </row>
    <row r="43" spans="1:4" ht="15" customHeight="1" x14ac:dyDescent="0.25">
      <c r="A43" s="12" t="s">
        <v>113</v>
      </c>
      <c r="B43" s="15">
        <f>SUMIFS(E5:E28,A5:A28,A43,G5:G28,"Work")</f>
        <v>0</v>
      </c>
      <c r="C43" s="25">
        <f>COUNTIFS(A5:A28,A43,G5:G28,"Work")</f>
        <v>0</v>
      </c>
      <c r="D43" s="25" t="s">
        <v>177</v>
      </c>
    </row>
  </sheetData>
  <mergeCells count="4">
    <mergeCell ref="A3:J3"/>
    <mergeCell ref="A1:J1"/>
    <mergeCell ref="A31:J31"/>
    <mergeCell ref="A2:J2"/>
  </mergeCells>
  <dataValidations count="3">
    <dataValidation type="list" allowBlank="1" sqref="G5:G27" xr:uid="{00000000-0002-0000-0200-000000000000}">
      <formula1>"Work,Personal?,Reimbursement"</formula1>
      <formula2>0</formula2>
    </dataValidation>
    <dataValidation type="list" allowBlank="1" sqref="H5:H27" xr:uid="{00000000-0002-0000-0200-000001000000}">
      <formula1>"Yes,No,Pending"</formula1>
      <formula2>0</formula2>
    </dataValidation>
    <dataValidation type="list" allowBlank="1" sqref="F5:F27" xr:uid="{00000000-0002-0000-0200-000002000000}">
      <formula1>"1st,15th,Other"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2"/>
  <sheetViews>
    <sheetView showGridLines="0" zoomScaleNormal="100" workbookViewId="0">
      <pane ySplit="4" topLeftCell="A5" activePane="bottomLeft" state="frozen"/>
      <selection pane="bottomLeft" activeCell="G7" sqref="G7"/>
    </sheetView>
  </sheetViews>
  <sheetFormatPr defaultColWidth="8.7109375" defaultRowHeight="15" x14ac:dyDescent="0.25"/>
  <cols>
    <col min="1" max="1" width="12" customWidth="1"/>
    <col min="2" max="2" width="14" customWidth="1"/>
    <col min="3" max="3" width="24" customWidth="1"/>
    <col min="4" max="4" width="18" customWidth="1"/>
    <col min="5" max="5" width="16" customWidth="1"/>
    <col min="6" max="6" width="14" customWidth="1"/>
    <col min="7" max="7" width="20" customWidth="1"/>
    <col min="8" max="8" width="16" customWidth="1"/>
    <col min="9" max="9" width="18" customWidth="1"/>
    <col min="10" max="10" width="16" customWidth="1"/>
    <col min="11" max="12" width="20" customWidth="1"/>
  </cols>
  <sheetData>
    <row r="1" spans="1:12" ht="27.75" customHeight="1" x14ac:dyDescent="0.25">
      <c r="A1" s="102" t="s">
        <v>178</v>
      </c>
      <c r="B1" s="101"/>
      <c r="C1" s="101"/>
      <c r="D1" s="101"/>
      <c r="E1" s="101"/>
      <c r="F1" s="101"/>
      <c r="G1" s="101"/>
      <c r="H1" s="101"/>
      <c r="I1" s="101"/>
      <c r="J1" s="101"/>
      <c r="K1" s="30" t="s">
        <v>179</v>
      </c>
      <c r="L1" s="31">
        <f>SUMIF(D7:D200,"Tax Relief",F7:F200)</f>
        <v>746.1</v>
      </c>
    </row>
    <row r="2" spans="1:12" ht="19.5" customHeight="1" x14ac:dyDescent="0.25">
      <c r="A2" s="100" t="s">
        <v>180</v>
      </c>
      <c r="B2" s="101"/>
      <c r="C2" s="101"/>
      <c r="D2" s="101"/>
      <c r="E2" s="101"/>
      <c r="F2" s="101"/>
      <c r="G2" s="101"/>
      <c r="H2" s="101"/>
      <c r="I2" s="101"/>
      <c r="J2" s="101"/>
      <c r="K2" s="30" t="s">
        <v>181</v>
      </c>
      <c r="L2" s="31">
        <f>SUMIF(D7:D200,"Work Claim",F7:F200)</f>
        <v>0</v>
      </c>
    </row>
    <row r="3" spans="1:12" ht="15" customHeight="1" x14ac:dyDescent="0.25">
      <c r="K3" s="30" t="s">
        <v>182</v>
      </c>
      <c r="L3" s="31">
        <f>SUMIF(H7:H200,"Reimbursed",F7:F200)</f>
        <v>0</v>
      </c>
    </row>
    <row r="4" spans="1:12" ht="15" customHeight="1" x14ac:dyDescent="0.25">
      <c r="K4" s="30" t="s">
        <v>183</v>
      </c>
      <c r="L4" s="31">
        <f>SUMIF(H7:H200,"Pending",F7:F200)</f>
        <v>0</v>
      </c>
    </row>
    <row r="6" spans="1:12" ht="34.5" customHeight="1" x14ac:dyDescent="0.25">
      <c r="A6" s="5" t="s">
        <v>131</v>
      </c>
      <c r="B6" s="5" t="s">
        <v>64</v>
      </c>
      <c r="C6" s="5" t="s">
        <v>184</v>
      </c>
      <c r="D6" s="5" t="s">
        <v>136</v>
      </c>
      <c r="E6" s="5" t="s">
        <v>185</v>
      </c>
      <c r="F6" s="5" t="s">
        <v>134</v>
      </c>
      <c r="G6" s="5" t="s">
        <v>186</v>
      </c>
      <c r="H6" s="5" t="s">
        <v>187</v>
      </c>
      <c r="I6" s="5" t="s">
        <v>188</v>
      </c>
      <c r="J6" s="5" t="s">
        <v>189</v>
      </c>
      <c r="K6" s="5" t="s">
        <v>75</v>
      </c>
      <c r="L6" s="5" t="s">
        <v>190</v>
      </c>
    </row>
    <row r="7" spans="1:12" ht="15" customHeight="1" x14ac:dyDescent="0.25">
      <c r="A7" s="23" t="s">
        <v>191</v>
      </c>
      <c r="B7" s="22" t="s">
        <v>76</v>
      </c>
      <c r="C7" s="24" t="s">
        <v>192</v>
      </c>
      <c r="D7" s="22" t="s">
        <v>193</v>
      </c>
      <c r="E7" s="22" t="s">
        <v>194</v>
      </c>
      <c r="F7" s="8">
        <v>94.35</v>
      </c>
      <c r="G7" s="22" t="s">
        <v>195</v>
      </c>
      <c r="H7" s="22" t="s">
        <v>196</v>
      </c>
      <c r="I7" s="22"/>
      <c r="J7" s="9">
        <v>2500</v>
      </c>
      <c r="K7" s="22" t="s">
        <v>197</v>
      </c>
      <c r="L7" s="22" t="s">
        <v>198</v>
      </c>
    </row>
    <row r="8" spans="1:12" ht="15" customHeight="1" x14ac:dyDescent="0.25">
      <c r="A8" s="26" t="s">
        <v>82</v>
      </c>
      <c r="B8" s="25" t="s">
        <v>81</v>
      </c>
      <c r="C8" s="27" t="s">
        <v>192</v>
      </c>
      <c r="D8" s="25" t="s">
        <v>193</v>
      </c>
      <c r="E8" s="25" t="s">
        <v>194</v>
      </c>
      <c r="F8" s="14">
        <v>94.35</v>
      </c>
      <c r="G8" s="25" t="s">
        <v>199</v>
      </c>
      <c r="H8" s="25" t="s">
        <v>196</v>
      </c>
      <c r="I8" s="25"/>
      <c r="J8" s="15">
        <v>2500</v>
      </c>
      <c r="K8" s="25" t="s">
        <v>197</v>
      </c>
      <c r="L8" s="25" t="s">
        <v>198</v>
      </c>
    </row>
    <row r="9" spans="1:12" ht="15" customHeight="1" x14ac:dyDescent="0.25">
      <c r="A9" s="23" t="s">
        <v>85</v>
      </c>
      <c r="B9" s="22" t="s">
        <v>84</v>
      </c>
      <c r="C9" s="24" t="s">
        <v>192</v>
      </c>
      <c r="D9" s="22" t="s">
        <v>193</v>
      </c>
      <c r="E9" s="22" t="s">
        <v>194</v>
      </c>
      <c r="F9" s="8">
        <v>94.35</v>
      </c>
      <c r="G9" s="22" t="s">
        <v>200</v>
      </c>
      <c r="H9" s="22" t="s">
        <v>196</v>
      </c>
      <c r="I9" s="22"/>
      <c r="J9" s="9">
        <v>2500</v>
      </c>
      <c r="K9" s="22" t="s">
        <v>197</v>
      </c>
      <c r="L9" s="22" t="s">
        <v>198</v>
      </c>
    </row>
    <row r="10" spans="1:12" ht="15" customHeight="1" x14ac:dyDescent="0.25">
      <c r="A10" s="26" t="s">
        <v>88</v>
      </c>
      <c r="B10" s="25" t="s">
        <v>87</v>
      </c>
      <c r="C10" s="27" t="s">
        <v>192</v>
      </c>
      <c r="D10" s="25" t="s">
        <v>193</v>
      </c>
      <c r="E10" s="25" t="s">
        <v>194</v>
      </c>
      <c r="F10" s="14">
        <v>94.35</v>
      </c>
      <c r="G10" s="25" t="s">
        <v>201</v>
      </c>
      <c r="H10" s="25" t="s">
        <v>196</v>
      </c>
      <c r="I10" s="25"/>
      <c r="J10" s="15">
        <v>2500</v>
      </c>
      <c r="K10" s="25" t="s">
        <v>197</v>
      </c>
      <c r="L10" s="25" t="s">
        <v>198</v>
      </c>
    </row>
    <row r="11" spans="1:12" ht="15" customHeight="1" x14ac:dyDescent="0.25">
      <c r="A11" s="23" t="s">
        <v>91</v>
      </c>
      <c r="B11" s="22" t="s">
        <v>90</v>
      </c>
      <c r="C11" s="24" t="s">
        <v>192</v>
      </c>
      <c r="D11" s="22" t="s">
        <v>193</v>
      </c>
      <c r="E11" s="22" t="s">
        <v>194</v>
      </c>
      <c r="F11" s="8">
        <v>94.35</v>
      </c>
      <c r="G11" s="22" t="s">
        <v>202</v>
      </c>
      <c r="H11" s="22" t="s">
        <v>196</v>
      </c>
      <c r="I11" s="22"/>
      <c r="J11" s="9">
        <v>2500</v>
      </c>
      <c r="K11" s="22" t="s">
        <v>197</v>
      </c>
      <c r="L11" s="22" t="s">
        <v>198</v>
      </c>
    </row>
    <row r="12" spans="1:12" ht="15" customHeight="1" x14ac:dyDescent="0.25">
      <c r="A12" s="26" t="s">
        <v>94</v>
      </c>
      <c r="B12" s="25" t="s">
        <v>93</v>
      </c>
      <c r="C12" s="27" t="s">
        <v>192</v>
      </c>
      <c r="D12" s="25" t="s">
        <v>193</v>
      </c>
      <c r="E12" s="25" t="s">
        <v>194</v>
      </c>
      <c r="F12" s="14">
        <v>94.35</v>
      </c>
      <c r="G12" s="25" t="s">
        <v>203</v>
      </c>
      <c r="H12" s="25" t="s">
        <v>196</v>
      </c>
      <c r="I12" s="25"/>
      <c r="J12" s="15">
        <v>2500</v>
      </c>
      <c r="K12" s="25" t="s">
        <v>197</v>
      </c>
      <c r="L12" s="25" t="s">
        <v>198</v>
      </c>
    </row>
    <row r="13" spans="1:12" ht="15" customHeight="1" x14ac:dyDescent="0.25">
      <c r="A13" s="23" t="s">
        <v>139</v>
      </c>
      <c r="B13" s="22" t="s">
        <v>76</v>
      </c>
      <c r="C13" s="24" t="s">
        <v>204</v>
      </c>
      <c r="D13" s="22" t="s">
        <v>193</v>
      </c>
      <c r="E13" s="22" t="s">
        <v>18</v>
      </c>
      <c r="F13" s="8">
        <v>30</v>
      </c>
      <c r="G13" s="22" t="s">
        <v>205</v>
      </c>
      <c r="H13" s="22" t="s">
        <v>196</v>
      </c>
      <c r="I13" s="22"/>
      <c r="J13" s="9">
        <v>3000</v>
      </c>
      <c r="K13" s="22" t="s">
        <v>206</v>
      </c>
      <c r="L13" s="22" t="s">
        <v>198</v>
      </c>
    </row>
    <row r="14" spans="1:12" ht="15" customHeight="1" x14ac:dyDescent="0.25">
      <c r="A14" s="26" t="s">
        <v>207</v>
      </c>
      <c r="B14" s="25" t="s">
        <v>81</v>
      </c>
      <c r="C14" s="27" t="s">
        <v>204</v>
      </c>
      <c r="D14" s="25" t="s">
        <v>193</v>
      </c>
      <c r="E14" s="25" t="s">
        <v>18</v>
      </c>
      <c r="F14" s="14">
        <v>30</v>
      </c>
      <c r="G14" s="25" t="s">
        <v>208</v>
      </c>
      <c r="H14" s="25" t="s">
        <v>196</v>
      </c>
      <c r="I14" s="25"/>
      <c r="J14" s="15">
        <v>3000</v>
      </c>
      <c r="K14" s="25" t="s">
        <v>206</v>
      </c>
      <c r="L14" s="25" t="s">
        <v>198</v>
      </c>
    </row>
    <row r="15" spans="1:12" ht="15" customHeight="1" x14ac:dyDescent="0.25">
      <c r="A15" s="23" t="s">
        <v>209</v>
      </c>
      <c r="B15" s="22" t="s">
        <v>84</v>
      </c>
      <c r="C15" s="24" t="s">
        <v>204</v>
      </c>
      <c r="D15" s="22" t="s">
        <v>193</v>
      </c>
      <c r="E15" s="22" t="s">
        <v>18</v>
      </c>
      <c r="F15" s="8">
        <v>30</v>
      </c>
      <c r="G15" s="22" t="s">
        <v>210</v>
      </c>
      <c r="H15" s="22" t="s">
        <v>196</v>
      </c>
      <c r="I15" s="22"/>
      <c r="J15" s="9">
        <v>3000</v>
      </c>
      <c r="K15" s="22" t="s">
        <v>206</v>
      </c>
      <c r="L15" s="22" t="s">
        <v>198</v>
      </c>
    </row>
    <row r="16" spans="1:12" ht="15" customHeight="1" x14ac:dyDescent="0.25">
      <c r="A16" s="26" t="s">
        <v>211</v>
      </c>
      <c r="B16" s="25" t="s">
        <v>87</v>
      </c>
      <c r="C16" s="27" t="s">
        <v>204</v>
      </c>
      <c r="D16" s="25" t="s">
        <v>193</v>
      </c>
      <c r="E16" s="25" t="s">
        <v>18</v>
      </c>
      <c r="F16" s="14">
        <v>30</v>
      </c>
      <c r="G16" s="25" t="s">
        <v>212</v>
      </c>
      <c r="H16" s="25" t="s">
        <v>196</v>
      </c>
      <c r="I16" s="25"/>
      <c r="J16" s="15">
        <v>3000</v>
      </c>
      <c r="K16" s="25" t="s">
        <v>206</v>
      </c>
      <c r="L16" s="25" t="s">
        <v>198</v>
      </c>
    </row>
    <row r="17" spans="1:12" ht="15" customHeight="1" x14ac:dyDescent="0.25">
      <c r="A17" s="23" t="s">
        <v>213</v>
      </c>
      <c r="B17" s="22" t="s">
        <v>90</v>
      </c>
      <c r="C17" s="24" t="s">
        <v>204</v>
      </c>
      <c r="D17" s="22" t="s">
        <v>193</v>
      </c>
      <c r="E17" s="22" t="s">
        <v>18</v>
      </c>
      <c r="F17" s="8">
        <v>30</v>
      </c>
      <c r="G17" s="22" t="s">
        <v>214</v>
      </c>
      <c r="H17" s="22" t="s">
        <v>196</v>
      </c>
      <c r="I17" s="22"/>
      <c r="J17" s="9">
        <v>3000</v>
      </c>
      <c r="K17" s="22" t="s">
        <v>206</v>
      </c>
      <c r="L17" s="22" t="s">
        <v>198</v>
      </c>
    </row>
    <row r="18" spans="1:12" ht="15" customHeight="1" x14ac:dyDescent="0.25">
      <c r="A18" s="26" t="s">
        <v>215</v>
      </c>
      <c r="B18" s="25" t="s">
        <v>93</v>
      </c>
      <c r="C18" s="27" t="s">
        <v>204</v>
      </c>
      <c r="D18" s="25" t="s">
        <v>193</v>
      </c>
      <c r="E18" s="25" t="s">
        <v>18</v>
      </c>
      <c r="F18" s="14">
        <v>30</v>
      </c>
      <c r="G18" s="25" t="s">
        <v>216</v>
      </c>
      <c r="H18" s="25" t="s">
        <v>196</v>
      </c>
      <c r="I18" s="25"/>
      <c r="J18" s="15">
        <v>3000</v>
      </c>
      <c r="K18" s="25" t="s">
        <v>206</v>
      </c>
      <c r="L18" s="25" t="s">
        <v>198</v>
      </c>
    </row>
    <row r="19" spans="1:12" ht="15" customHeight="1" x14ac:dyDescent="0.25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</row>
    <row r="20" spans="1:12" ht="15" customHeight="1" x14ac:dyDescent="0.25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</row>
    <row r="21" spans="1:12" ht="15" customHeight="1" x14ac:dyDescent="0.25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</row>
    <row r="22" spans="1:12" ht="15" customHeight="1" x14ac:dyDescent="0.25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</row>
    <row r="23" spans="1:12" ht="15" customHeight="1" x14ac:dyDescent="0.25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</row>
    <row r="24" spans="1:12" ht="15" customHeight="1" x14ac:dyDescent="0.2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spans="1:12" ht="15" customHeight="1" x14ac:dyDescent="0.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 ht="15" customHeight="1" x14ac:dyDescent="0.25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 ht="15" customHeight="1" x14ac:dyDescent="0.25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spans="1:12" ht="15" customHeight="1" x14ac:dyDescent="0.25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spans="1:12" ht="15" customHeight="1" x14ac:dyDescent="0.25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0" spans="1:12" ht="15" customHeight="1" x14ac:dyDescent="0.25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spans="1:12" ht="15" customHeight="1" x14ac:dyDescent="0.25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2" ht="15" customHeight="1" x14ac:dyDescent="0.25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spans="1:12" ht="15" customHeight="1" x14ac:dyDescent="0.25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spans="1:12" ht="15" customHeight="1" x14ac:dyDescent="0.2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  <row r="35" spans="1:12" ht="15" customHeight="1" x14ac:dyDescent="0.2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  <row r="36" spans="1:12" ht="15" customHeight="1" x14ac:dyDescent="0.25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</row>
    <row r="37" spans="1:12" ht="15" customHeight="1" x14ac:dyDescent="0.25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</row>
    <row r="38" spans="1:12" ht="15" customHeight="1" x14ac:dyDescent="0.2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</row>
    <row r="41" spans="1:12" ht="15" customHeight="1" x14ac:dyDescent="0.25">
      <c r="A41" s="119" t="s">
        <v>217</v>
      </c>
      <c r="B41" s="99"/>
      <c r="C41" s="99"/>
      <c r="D41" s="99"/>
      <c r="E41" s="99"/>
      <c r="F41" s="99"/>
      <c r="G41" s="99"/>
      <c r="H41" s="99"/>
      <c r="I41" s="99"/>
      <c r="J41" s="99"/>
      <c r="K41" s="99"/>
      <c r="L41" s="99"/>
    </row>
    <row r="42" spans="1:12" ht="21.75" customHeight="1" x14ac:dyDescent="0.25">
      <c r="A42" s="5" t="s">
        <v>218</v>
      </c>
      <c r="B42" s="5" t="s">
        <v>219</v>
      </c>
      <c r="C42" s="5" t="s">
        <v>220</v>
      </c>
      <c r="D42" s="5" t="s">
        <v>221</v>
      </c>
      <c r="E42" s="5" t="s">
        <v>222</v>
      </c>
    </row>
    <row r="43" spans="1:12" ht="15" customHeight="1" x14ac:dyDescent="0.25">
      <c r="A43" s="6" t="s">
        <v>18</v>
      </c>
      <c r="B43" s="9">
        <v>3000</v>
      </c>
      <c r="C43" s="9">
        <f>SUMIFS(F5:F37,E5:E37,A43,D5:D37,"Tax Relief")</f>
        <v>180</v>
      </c>
      <c r="D43" s="9">
        <f t="shared" ref="D43:D52" si="0">MAX(0,B43-C43)</f>
        <v>2820</v>
      </c>
      <c r="E43" s="32">
        <f t="shared" ref="E43:E52" si="1">IF(B43&gt;0,MIN(C43/B43,1),0)</f>
        <v>0.06</v>
      </c>
    </row>
    <row r="44" spans="1:12" ht="15" customHeight="1" x14ac:dyDescent="0.25">
      <c r="A44" s="12" t="s">
        <v>223</v>
      </c>
      <c r="B44" s="15">
        <v>4000</v>
      </c>
      <c r="C44" s="15">
        <f>SUMIFS(F5:F37,E5:E37,A44,D5:D37,"Tax Relief")</f>
        <v>0</v>
      </c>
      <c r="D44" s="15">
        <f t="shared" si="0"/>
        <v>4000</v>
      </c>
      <c r="E44" s="33">
        <f t="shared" si="1"/>
        <v>0</v>
      </c>
    </row>
    <row r="45" spans="1:12" ht="15" customHeight="1" x14ac:dyDescent="0.25">
      <c r="A45" s="6" t="s">
        <v>194</v>
      </c>
      <c r="B45" s="9">
        <v>2500</v>
      </c>
      <c r="C45" s="9">
        <f>SUMIFS(F5:F37,E5:E37,A45,D5:D37,"Tax Relief")</f>
        <v>566.1</v>
      </c>
      <c r="D45" s="9">
        <f t="shared" si="0"/>
        <v>1933.9</v>
      </c>
      <c r="E45" s="32">
        <f t="shared" si="1"/>
        <v>0.22644</v>
      </c>
    </row>
    <row r="46" spans="1:12" ht="15" customHeight="1" x14ac:dyDescent="0.25">
      <c r="A46" s="12" t="s">
        <v>224</v>
      </c>
      <c r="B46" s="15">
        <v>2500</v>
      </c>
      <c r="C46" s="15">
        <f>SUMIFS(F5:F37,E5:E37,A46,D5:D37,"Tax Relief")</f>
        <v>0</v>
      </c>
      <c r="D46" s="15">
        <f t="shared" si="0"/>
        <v>2500</v>
      </c>
      <c r="E46" s="33">
        <f t="shared" si="1"/>
        <v>0</v>
      </c>
    </row>
    <row r="47" spans="1:12" ht="15" customHeight="1" x14ac:dyDescent="0.25">
      <c r="A47" s="6" t="s">
        <v>225</v>
      </c>
      <c r="B47" s="9">
        <v>1000</v>
      </c>
      <c r="C47" s="9">
        <f>SUMIFS(F5:F37,E5:E37,A47,D5:D37,"Tax Relief")</f>
        <v>0</v>
      </c>
      <c r="D47" s="9">
        <f t="shared" si="0"/>
        <v>1000</v>
      </c>
      <c r="E47" s="32">
        <f t="shared" si="1"/>
        <v>0</v>
      </c>
    </row>
    <row r="48" spans="1:12" ht="15" customHeight="1" x14ac:dyDescent="0.25">
      <c r="A48" s="12" t="s">
        <v>226</v>
      </c>
      <c r="B48" s="15">
        <v>1000</v>
      </c>
      <c r="C48" s="15">
        <f>SUMIFS(F5:F37,E5:E37,A48,D5:D37,"Tax Relief")</f>
        <v>0</v>
      </c>
      <c r="D48" s="15">
        <f t="shared" si="0"/>
        <v>1000</v>
      </c>
      <c r="E48" s="33">
        <f t="shared" si="1"/>
        <v>0</v>
      </c>
    </row>
    <row r="49" spans="1:5" ht="15" customHeight="1" x14ac:dyDescent="0.25">
      <c r="A49" s="6" t="s">
        <v>12</v>
      </c>
      <c r="B49" s="9">
        <v>350</v>
      </c>
      <c r="C49" s="9">
        <f>SUMIFS(F5:F37,E5:E37,A49,D5:D37,"Tax Relief")</f>
        <v>0</v>
      </c>
      <c r="D49" s="9">
        <f t="shared" si="0"/>
        <v>350</v>
      </c>
      <c r="E49" s="32">
        <f t="shared" si="1"/>
        <v>0</v>
      </c>
    </row>
    <row r="50" spans="1:5" ht="15" customHeight="1" x14ac:dyDescent="0.25">
      <c r="A50" s="12" t="s">
        <v>22</v>
      </c>
      <c r="B50" s="15">
        <v>8000</v>
      </c>
      <c r="C50" s="15">
        <f>SUMIFS(F5:F37,E5:E37,A50,D5:D37,"Tax Relief")</f>
        <v>0</v>
      </c>
      <c r="D50" s="15">
        <f t="shared" si="0"/>
        <v>8000</v>
      </c>
      <c r="E50" s="33">
        <f t="shared" si="1"/>
        <v>0</v>
      </c>
    </row>
    <row r="51" spans="1:5" ht="15" customHeight="1" x14ac:dyDescent="0.25">
      <c r="A51" s="6" t="s">
        <v>23</v>
      </c>
      <c r="B51" s="9">
        <v>3000</v>
      </c>
      <c r="C51" s="9">
        <f>SUMIFS(F5:F37,E5:E37,A51,D5:D37,"Tax Relief")</f>
        <v>0</v>
      </c>
      <c r="D51" s="9">
        <f t="shared" si="0"/>
        <v>3000</v>
      </c>
      <c r="E51" s="32">
        <f t="shared" si="1"/>
        <v>0</v>
      </c>
    </row>
    <row r="52" spans="1:5" ht="15" customHeight="1" x14ac:dyDescent="0.25">
      <c r="A52" s="12" t="s">
        <v>24</v>
      </c>
      <c r="B52" s="15">
        <v>7000</v>
      </c>
      <c r="C52" s="15">
        <f>SUMIFS(F5:F37,E5:E37,A52,D5:D37,"Tax Relief")</f>
        <v>0</v>
      </c>
      <c r="D52" s="15">
        <f t="shared" si="0"/>
        <v>7000</v>
      </c>
      <c r="E52" s="33">
        <f t="shared" si="1"/>
        <v>0</v>
      </c>
    </row>
  </sheetData>
  <mergeCells count="3">
    <mergeCell ref="A41:L41"/>
    <mergeCell ref="A1:J1"/>
    <mergeCell ref="A2:J2"/>
  </mergeCells>
  <dataValidations count="3">
    <dataValidation type="list" allowBlank="1" sqref="D7:D38" xr:uid="{00000000-0002-0000-0300-000000000000}">
      <formula1>"Tax Relief,Work Claim,Personal"</formula1>
      <formula2>0</formula2>
    </dataValidation>
    <dataValidation type="list" allowBlank="1" sqref="H7:H38" xr:uid="{00000000-0002-0000-0300-000001000000}">
      <formula1>"Pending,Reimbursed,Claimed,Not Claimed"</formula1>
      <formula2>0</formula2>
    </dataValidation>
    <dataValidation type="list" allowBlank="1" sqref="E7:E38" xr:uid="{00000000-0002-0000-0300-000002000000}">
      <formula1>"Life Insurance,Medical Insurance,Lifestyle-WiFi,Lifestyle-Phone/Book/Gadget,Lifestyle-Sports/Gym,Medical/Dental/Checkup,SOCSO,SSPN,PRS,Skills Course,Work Equipment,Work Transport,Work Meals,Other"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7"/>
  <sheetViews>
    <sheetView showGridLines="0" zoomScaleNormal="100" workbookViewId="0">
      <selection sqref="A1:G1"/>
    </sheetView>
  </sheetViews>
  <sheetFormatPr defaultColWidth="8.7109375" defaultRowHeight="15" x14ac:dyDescent="0.25"/>
  <cols>
    <col min="1" max="2" width="12" customWidth="1"/>
    <col min="3" max="3" width="20" customWidth="1"/>
    <col min="4" max="4" width="40" customWidth="1"/>
    <col min="5" max="5" width="20" customWidth="1"/>
    <col min="6" max="6" width="30" customWidth="1"/>
    <col min="7" max="7" width="20" customWidth="1"/>
  </cols>
  <sheetData>
    <row r="1" spans="1:7" ht="27.75" customHeight="1" x14ac:dyDescent="0.25">
      <c r="A1" s="102" t="s">
        <v>227</v>
      </c>
      <c r="B1" s="101"/>
      <c r="C1" s="101"/>
      <c r="D1" s="101"/>
      <c r="E1" s="101"/>
      <c r="F1" s="101"/>
      <c r="G1" s="101"/>
    </row>
    <row r="2" spans="1:7" ht="19.5" customHeight="1" x14ac:dyDescent="0.25">
      <c r="A2" s="100" t="s">
        <v>228</v>
      </c>
      <c r="B2" s="101"/>
      <c r="C2" s="101"/>
      <c r="D2" s="101"/>
      <c r="E2" s="101"/>
      <c r="F2" s="101"/>
      <c r="G2" s="101"/>
    </row>
    <row r="3" spans="1:7" ht="30" customHeight="1" x14ac:dyDescent="0.25">
      <c r="A3" s="124" t="s">
        <v>229</v>
      </c>
      <c r="B3" s="104"/>
      <c r="C3" s="104"/>
      <c r="D3" s="104"/>
      <c r="E3" s="104"/>
      <c r="F3" s="104"/>
      <c r="G3" s="104"/>
    </row>
    <row r="4" spans="1:7" ht="27.75" customHeight="1" x14ac:dyDescent="0.25">
      <c r="A4" s="5" t="s">
        <v>64</v>
      </c>
      <c r="B4" s="5" t="s">
        <v>230</v>
      </c>
      <c r="C4" s="5" t="s">
        <v>231</v>
      </c>
      <c r="D4" s="5" t="s">
        <v>232</v>
      </c>
      <c r="E4" s="5" t="s">
        <v>233</v>
      </c>
      <c r="F4" s="5" t="s">
        <v>234</v>
      </c>
      <c r="G4" s="5" t="s">
        <v>235</v>
      </c>
    </row>
    <row r="5" spans="1:7" ht="15" customHeight="1" x14ac:dyDescent="0.25">
      <c r="A5" s="22" t="s">
        <v>76</v>
      </c>
      <c r="B5" s="22" t="s">
        <v>236</v>
      </c>
      <c r="C5" s="6" t="s">
        <v>237</v>
      </c>
      <c r="D5" s="22" t="s">
        <v>238</v>
      </c>
      <c r="E5" s="22" t="s">
        <v>239</v>
      </c>
      <c r="F5" s="34" t="s">
        <v>240</v>
      </c>
      <c r="G5" s="35" t="s">
        <v>241</v>
      </c>
    </row>
    <row r="6" spans="1:7" ht="15" customHeight="1" x14ac:dyDescent="0.25">
      <c r="A6" s="25" t="s">
        <v>76</v>
      </c>
      <c r="B6" s="25" t="s">
        <v>236</v>
      </c>
      <c r="C6" s="12" t="s">
        <v>242</v>
      </c>
      <c r="D6" s="25" t="s">
        <v>243</v>
      </c>
      <c r="E6" s="25" t="s">
        <v>244</v>
      </c>
      <c r="F6" s="34" t="s">
        <v>240</v>
      </c>
      <c r="G6" s="35" t="s">
        <v>241</v>
      </c>
    </row>
    <row r="7" spans="1:7" ht="15" customHeight="1" x14ac:dyDescent="0.25">
      <c r="A7" s="22" t="s">
        <v>81</v>
      </c>
      <c r="B7" s="22" t="s">
        <v>236</v>
      </c>
      <c r="C7" s="6" t="s">
        <v>237</v>
      </c>
      <c r="D7" s="22" t="s">
        <v>245</v>
      </c>
      <c r="E7" s="22" t="s">
        <v>239</v>
      </c>
      <c r="F7" s="34" t="s">
        <v>240</v>
      </c>
      <c r="G7" s="35" t="s">
        <v>241</v>
      </c>
    </row>
    <row r="8" spans="1:7" ht="15" customHeight="1" x14ac:dyDescent="0.25">
      <c r="A8" s="25" t="s">
        <v>81</v>
      </c>
      <c r="B8" s="25" t="s">
        <v>236</v>
      </c>
      <c r="C8" s="12" t="s">
        <v>242</v>
      </c>
      <c r="D8" s="25" t="s">
        <v>246</v>
      </c>
      <c r="E8" s="25" t="s">
        <v>244</v>
      </c>
      <c r="F8" s="34" t="s">
        <v>240</v>
      </c>
      <c r="G8" s="35" t="s">
        <v>241</v>
      </c>
    </row>
    <row r="9" spans="1:7" ht="15" customHeight="1" x14ac:dyDescent="0.25">
      <c r="A9" s="22" t="s">
        <v>84</v>
      </c>
      <c r="B9" s="22" t="s">
        <v>236</v>
      </c>
      <c r="C9" s="6" t="s">
        <v>237</v>
      </c>
      <c r="D9" s="22" t="s">
        <v>247</v>
      </c>
      <c r="E9" s="22" t="s">
        <v>239</v>
      </c>
      <c r="F9" s="34" t="s">
        <v>240</v>
      </c>
      <c r="G9" s="35" t="s">
        <v>241</v>
      </c>
    </row>
    <row r="10" spans="1:7" ht="15" customHeight="1" x14ac:dyDescent="0.25">
      <c r="A10" s="25" t="s">
        <v>84</v>
      </c>
      <c r="B10" s="25" t="s">
        <v>236</v>
      </c>
      <c r="C10" s="12" t="s">
        <v>242</v>
      </c>
      <c r="D10" s="25" t="s">
        <v>248</v>
      </c>
      <c r="E10" s="25" t="s">
        <v>244</v>
      </c>
      <c r="F10" s="34" t="s">
        <v>240</v>
      </c>
      <c r="G10" s="35" t="s">
        <v>241</v>
      </c>
    </row>
    <row r="11" spans="1:7" ht="15" customHeight="1" x14ac:dyDescent="0.25">
      <c r="A11" s="22" t="s">
        <v>87</v>
      </c>
      <c r="B11" s="22" t="s">
        <v>236</v>
      </c>
      <c r="C11" s="6" t="s">
        <v>237</v>
      </c>
      <c r="D11" s="22" t="s">
        <v>249</v>
      </c>
      <c r="E11" s="22" t="s">
        <v>239</v>
      </c>
      <c r="F11" s="34" t="s">
        <v>240</v>
      </c>
      <c r="G11" s="35" t="s">
        <v>241</v>
      </c>
    </row>
    <row r="12" spans="1:7" ht="15" customHeight="1" x14ac:dyDescent="0.25">
      <c r="A12" s="25" t="s">
        <v>87</v>
      </c>
      <c r="B12" s="25" t="s">
        <v>236</v>
      </c>
      <c r="C12" s="12" t="s">
        <v>242</v>
      </c>
      <c r="D12" s="25" t="s">
        <v>250</v>
      </c>
      <c r="E12" s="25" t="s">
        <v>244</v>
      </c>
      <c r="F12" s="34" t="s">
        <v>240</v>
      </c>
      <c r="G12" s="35" t="s">
        <v>241</v>
      </c>
    </row>
    <row r="13" spans="1:7" ht="15" customHeight="1" x14ac:dyDescent="0.25">
      <c r="A13" s="22" t="s">
        <v>90</v>
      </c>
      <c r="B13" s="22" t="s">
        <v>236</v>
      </c>
      <c r="C13" s="6" t="s">
        <v>237</v>
      </c>
      <c r="D13" s="22" t="s">
        <v>251</v>
      </c>
      <c r="E13" s="22" t="s">
        <v>239</v>
      </c>
      <c r="F13" s="34" t="s">
        <v>240</v>
      </c>
      <c r="G13" s="35" t="s">
        <v>241</v>
      </c>
    </row>
    <row r="14" spans="1:7" ht="15" customHeight="1" x14ac:dyDescent="0.25">
      <c r="A14" s="25" t="s">
        <v>90</v>
      </c>
      <c r="B14" s="25" t="s">
        <v>236</v>
      </c>
      <c r="C14" s="12" t="s">
        <v>242</v>
      </c>
      <c r="D14" s="25" t="s">
        <v>252</v>
      </c>
      <c r="E14" s="25" t="s">
        <v>244</v>
      </c>
      <c r="F14" s="34" t="s">
        <v>240</v>
      </c>
      <c r="G14" s="35" t="s">
        <v>241</v>
      </c>
    </row>
    <row r="15" spans="1:7" ht="15" customHeight="1" x14ac:dyDescent="0.25">
      <c r="A15" s="22" t="s">
        <v>93</v>
      </c>
      <c r="B15" s="22" t="s">
        <v>236</v>
      </c>
      <c r="C15" s="6" t="s">
        <v>237</v>
      </c>
      <c r="D15" s="22" t="s">
        <v>253</v>
      </c>
      <c r="E15" s="22" t="s">
        <v>239</v>
      </c>
      <c r="F15" s="34" t="s">
        <v>240</v>
      </c>
      <c r="G15" s="35" t="s">
        <v>241</v>
      </c>
    </row>
    <row r="16" spans="1:7" ht="15" customHeight="1" x14ac:dyDescent="0.25">
      <c r="A16" s="25" t="s">
        <v>93</v>
      </c>
      <c r="B16" s="25" t="s">
        <v>236</v>
      </c>
      <c r="C16" s="12" t="s">
        <v>242</v>
      </c>
      <c r="D16" s="25" t="s">
        <v>254</v>
      </c>
      <c r="E16" s="25" t="s">
        <v>244</v>
      </c>
      <c r="F16" s="34" t="s">
        <v>240</v>
      </c>
      <c r="G16" s="35" t="s">
        <v>241</v>
      </c>
    </row>
    <row r="17" spans="1:7" ht="15" customHeight="1" x14ac:dyDescent="0.25">
      <c r="A17" s="22" t="s">
        <v>96</v>
      </c>
      <c r="B17" s="22" t="s">
        <v>236</v>
      </c>
      <c r="C17" s="6" t="s">
        <v>237</v>
      </c>
      <c r="D17" s="22" t="s">
        <v>255</v>
      </c>
      <c r="E17" s="22" t="s">
        <v>239</v>
      </c>
      <c r="F17" s="34" t="s">
        <v>240</v>
      </c>
      <c r="G17" s="35" t="s">
        <v>241</v>
      </c>
    </row>
    <row r="18" spans="1:7" ht="15" customHeight="1" x14ac:dyDescent="0.25">
      <c r="A18" s="25" t="s">
        <v>96</v>
      </c>
      <c r="B18" s="25" t="s">
        <v>236</v>
      </c>
      <c r="C18" s="12" t="s">
        <v>242</v>
      </c>
      <c r="D18" s="25" t="s">
        <v>256</v>
      </c>
      <c r="E18" s="25" t="s">
        <v>244</v>
      </c>
      <c r="F18" s="34" t="s">
        <v>240</v>
      </c>
      <c r="G18" s="35" t="s">
        <v>241</v>
      </c>
    </row>
    <row r="19" spans="1:7" ht="15" customHeight="1" x14ac:dyDescent="0.25">
      <c r="A19" s="22" t="s">
        <v>101</v>
      </c>
      <c r="B19" s="22" t="s">
        <v>236</v>
      </c>
      <c r="C19" s="6" t="s">
        <v>237</v>
      </c>
      <c r="D19" s="22" t="s">
        <v>257</v>
      </c>
      <c r="E19" s="22" t="s">
        <v>239</v>
      </c>
      <c r="F19" s="34" t="s">
        <v>240</v>
      </c>
      <c r="G19" s="35" t="s">
        <v>241</v>
      </c>
    </row>
    <row r="20" spans="1:7" ht="15" customHeight="1" x14ac:dyDescent="0.25">
      <c r="A20" s="25" t="s">
        <v>101</v>
      </c>
      <c r="B20" s="25" t="s">
        <v>236</v>
      </c>
      <c r="C20" s="12" t="s">
        <v>242</v>
      </c>
      <c r="D20" s="25" t="s">
        <v>258</v>
      </c>
      <c r="E20" s="25" t="s">
        <v>244</v>
      </c>
      <c r="F20" s="34" t="s">
        <v>240</v>
      </c>
      <c r="G20" s="35" t="s">
        <v>241</v>
      </c>
    </row>
    <row r="21" spans="1:7" ht="15" customHeight="1" x14ac:dyDescent="0.25">
      <c r="A21" s="22" t="s">
        <v>104</v>
      </c>
      <c r="B21" s="22" t="s">
        <v>236</v>
      </c>
      <c r="C21" s="6" t="s">
        <v>237</v>
      </c>
      <c r="D21" s="22" t="s">
        <v>259</v>
      </c>
      <c r="E21" s="22" t="s">
        <v>239</v>
      </c>
      <c r="F21" s="34" t="s">
        <v>240</v>
      </c>
      <c r="G21" s="35" t="s">
        <v>241</v>
      </c>
    </row>
    <row r="22" spans="1:7" ht="15" customHeight="1" x14ac:dyDescent="0.25">
      <c r="A22" s="25" t="s">
        <v>104</v>
      </c>
      <c r="B22" s="25" t="s">
        <v>236</v>
      </c>
      <c r="C22" s="12" t="s">
        <v>242</v>
      </c>
      <c r="D22" s="25" t="s">
        <v>260</v>
      </c>
      <c r="E22" s="25" t="s">
        <v>244</v>
      </c>
      <c r="F22" s="34" t="s">
        <v>240</v>
      </c>
      <c r="G22" s="35" t="s">
        <v>241</v>
      </c>
    </row>
    <row r="23" spans="1:7" ht="15" customHeight="1" x14ac:dyDescent="0.25">
      <c r="A23" s="22" t="s">
        <v>107</v>
      </c>
      <c r="B23" s="22" t="s">
        <v>236</v>
      </c>
      <c r="C23" s="6" t="s">
        <v>237</v>
      </c>
      <c r="D23" s="22" t="s">
        <v>261</v>
      </c>
      <c r="E23" s="22" t="s">
        <v>239</v>
      </c>
      <c r="F23" s="34" t="s">
        <v>240</v>
      </c>
      <c r="G23" s="35" t="s">
        <v>241</v>
      </c>
    </row>
    <row r="24" spans="1:7" ht="15" customHeight="1" x14ac:dyDescent="0.25">
      <c r="A24" s="25" t="s">
        <v>107</v>
      </c>
      <c r="B24" s="25" t="s">
        <v>236</v>
      </c>
      <c r="C24" s="12" t="s">
        <v>242</v>
      </c>
      <c r="D24" s="25" t="s">
        <v>262</v>
      </c>
      <c r="E24" s="25" t="s">
        <v>244</v>
      </c>
      <c r="F24" s="34" t="s">
        <v>240</v>
      </c>
      <c r="G24" s="35" t="s">
        <v>241</v>
      </c>
    </row>
    <row r="25" spans="1:7" ht="15" customHeight="1" x14ac:dyDescent="0.25">
      <c r="A25" s="22" t="s">
        <v>110</v>
      </c>
      <c r="B25" s="22" t="s">
        <v>236</v>
      </c>
      <c r="C25" s="6" t="s">
        <v>237</v>
      </c>
      <c r="D25" s="22" t="s">
        <v>263</v>
      </c>
      <c r="E25" s="22" t="s">
        <v>239</v>
      </c>
      <c r="F25" s="34" t="s">
        <v>240</v>
      </c>
      <c r="G25" s="35" t="s">
        <v>241</v>
      </c>
    </row>
    <row r="26" spans="1:7" ht="15" customHeight="1" x14ac:dyDescent="0.25">
      <c r="A26" s="25" t="s">
        <v>110</v>
      </c>
      <c r="B26" s="25" t="s">
        <v>236</v>
      </c>
      <c r="C26" s="12" t="s">
        <v>242</v>
      </c>
      <c r="D26" s="25" t="s">
        <v>264</v>
      </c>
      <c r="E26" s="25" t="s">
        <v>244</v>
      </c>
      <c r="F26" s="34" t="s">
        <v>240</v>
      </c>
      <c r="G26" s="35" t="s">
        <v>241</v>
      </c>
    </row>
    <row r="27" spans="1:7" ht="15" customHeight="1" x14ac:dyDescent="0.25">
      <c r="A27" s="22" t="s">
        <v>113</v>
      </c>
      <c r="B27" s="22" t="s">
        <v>236</v>
      </c>
      <c r="C27" s="6" t="s">
        <v>237</v>
      </c>
      <c r="D27" s="22" t="s">
        <v>265</v>
      </c>
      <c r="E27" s="22" t="s">
        <v>239</v>
      </c>
      <c r="F27" s="34" t="s">
        <v>240</v>
      </c>
      <c r="G27" s="35" t="s">
        <v>241</v>
      </c>
    </row>
    <row r="28" spans="1:7" ht="15" customHeight="1" x14ac:dyDescent="0.25">
      <c r="A28" s="25" t="s">
        <v>113</v>
      </c>
      <c r="B28" s="25" t="s">
        <v>236</v>
      </c>
      <c r="C28" s="12" t="s">
        <v>242</v>
      </c>
      <c r="D28" s="25" t="s">
        <v>266</v>
      </c>
      <c r="E28" s="25" t="s">
        <v>244</v>
      </c>
      <c r="F28" s="34" t="s">
        <v>240</v>
      </c>
      <c r="G28" s="35" t="s">
        <v>241</v>
      </c>
    </row>
    <row r="29" spans="1:7" ht="15" customHeight="1" x14ac:dyDescent="0.25">
      <c r="A29" s="22" t="s">
        <v>76</v>
      </c>
      <c r="B29" s="22" t="s">
        <v>236</v>
      </c>
      <c r="C29" s="6" t="s">
        <v>267</v>
      </c>
      <c r="D29" s="22" t="s">
        <v>268</v>
      </c>
      <c r="E29" s="22" t="s">
        <v>239</v>
      </c>
      <c r="F29" s="34" t="s">
        <v>240</v>
      </c>
      <c r="G29" s="35" t="s">
        <v>241</v>
      </c>
    </row>
    <row r="30" spans="1:7" ht="15" customHeight="1" x14ac:dyDescent="0.25">
      <c r="A30" s="25" t="s">
        <v>76</v>
      </c>
      <c r="B30" s="25" t="s">
        <v>236</v>
      </c>
      <c r="C30" s="12" t="s">
        <v>267</v>
      </c>
      <c r="D30" s="25" t="s">
        <v>269</v>
      </c>
      <c r="E30" s="25" t="s">
        <v>239</v>
      </c>
      <c r="F30" s="34" t="s">
        <v>240</v>
      </c>
      <c r="G30" s="35" t="s">
        <v>241</v>
      </c>
    </row>
    <row r="31" spans="1:7" ht="15" customHeight="1" x14ac:dyDescent="0.25">
      <c r="A31" s="22" t="s">
        <v>270</v>
      </c>
      <c r="B31" s="22" t="s">
        <v>236</v>
      </c>
      <c r="C31" s="6" t="s">
        <v>271</v>
      </c>
      <c r="D31" s="22" t="s">
        <v>272</v>
      </c>
      <c r="E31" s="22" t="s">
        <v>239</v>
      </c>
      <c r="F31" s="34" t="s">
        <v>240</v>
      </c>
      <c r="G31" s="35" t="s">
        <v>241</v>
      </c>
    </row>
    <row r="32" spans="1:7" ht="15" customHeight="1" x14ac:dyDescent="0.25">
      <c r="A32" s="25" t="s">
        <v>270</v>
      </c>
      <c r="B32" s="25" t="s">
        <v>236</v>
      </c>
      <c r="C32" s="12" t="s">
        <v>271</v>
      </c>
      <c r="D32" s="25" t="s">
        <v>273</v>
      </c>
      <c r="E32" s="25" t="s">
        <v>239</v>
      </c>
      <c r="F32" s="34" t="s">
        <v>240</v>
      </c>
      <c r="G32" s="35" t="s">
        <v>241</v>
      </c>
    </row>
    <row r="33" spans="1:7" ht="15" customHeight="1" x14ac:dyDescent="0.25">
      <c r="A33" s="29"/>
      <c r="B33" s="29"/>
      <c r="C33" s="29"/>
      <c r="D33" s="29"/>
      <c r="E33" s="29"/>
      <c r="F33" s="29"/>
      <c r="G33" s="29"/>
    </row>
    <row r="34" spans="1:7" ht="15" customHeight="1" x14ac:dyDescent="0.25">
      <c r="A34" s="29"/>
      <c r="B34" s="29"/>
      <c r="C34" s="29"/>
      <c r="D34" s="29"/>
      <c r="E34" s="29"/>
      <c r="F34" s="29"/>
      <c r="G34" s="29"/>
    </row>
    <row r="35" spans="1:7" ht="15" customHeight="1" x14ac:dyDescent="0.25">
      <c r="A35" s="29"/>
      <c r="B35" s="29"/>
      <c r="C35" s="29"/>
      <c r="D35" s="29"/>
      <c r="E35" s="29"/>
      <c r="F35" s="29"/>
      <c r="G35" s="29"/>
    </row>
    <row r="36" spans="1:7" ht="15" customHeight="1" x14ac:dyDescent="0.25">
      <c r="A36" s="29"/>
      <c r="B36" s="29"/>
      <c r="C36" s="29"/>
      <c r="D36" s="29"/>
      <c r="E36" s="29"/>
      <c r="F36" s="29"/>
      <c r="G36" s="29"/>
    </row>
    <row r="37" spans="1:7" ht="15" customHeight="1" x14ac:dyDescent="0.25">
      <c r="A37" s="29"/>
      <c r="B37" s="29"/>
      <c r="C37" s="29"/>
      <c r="D37" s="29"/>
      <c r="E37" s="29"/>
      <c r="F37" s="29"/>
      <c r="G37" s="29"/>
    </row>
    <row r="38" spans="1:7" ht="15" customHeight="1" x14ac:dyDescent="0.25">
      <c r="A38" s="29"/>
      <c r="B38" s="29"/>
      <c r="C38" s="29"/>
      <c r="D38" s="29"/>
      <c r="E38" s="29"/>
      <c r="F38" s="29"/>
      <c r="G38" s="29"/>
    </row>
    <row r="39" spans="1:7" ht="15" customHeight="1" x14ac:dyDescent="0.25">
      <c r="A39" s="29"/>
      <c r="B39" s="29"/>
      <c r="C39" s="29"/>
      <c r="D39" s="29"/>
      <c r="E39" s="29"/>
      <c r="F39" s="29"/>
      <c r="G39" s="29"/>
    </row>
    <row r="40" spans="1:7" ht="15" customHeight="1" x14ac:dyDescent="0.25">
      <c r="A40" s="29"/>
      <c r="B40" s="29"/>
      <c r="C40" s="29"/>
      <c r="D40" s="29"/>
      <c r="E40" s="29"/>
      <c r="F40" s="29"/>
      <c r="G40" s="29"/>
    </row>
    <row r="41" spans="1:7" ht="15" customHeight="1" x14ac:dyDescent="0.25">
      <c r="A41" s="29"/>
      <c r="B41" s="29"/>
      <c r="C41" s="29"/>
      <c r="D41" s="29"/>
      <c r="E41" s="29"/>
      <c r="F41" s="29"/>
      <c r="G41" s="29"/>
    </row>
    <row r="42" spans="1:7" ht="15" customHeight="1" x14ac:dyDescent="0.25">
      <c r="A42" s="29"/>
      <c r="B42" s="29"/>
      <c r="C42" s="29"/>
      <c r="D42" s="29"/>
      <c r="E42" s="29"/>
      <c r="F42" s="29"/>
      <c r="G42" s="29"/>
    </row>
    <row r="43" spans="1:7" ht="15" customHeight="1" x14ac:dyDescent="0.25">
      <c r="A43" s="29"/>
      <c r="B43" s="29"/>
      <c r="C43" s="29"/>
      <c r="D43" s="29"/>
      <c r="E43" s="29"/>
      <c r="F43" s="29"/>
      <c r="G43" s="29"/>
    </row>
    <row r="44" spans="1:7" ht="15" customHeight="1" x14ac:dyDescent="0.25">
      <c r="A44" s="29"/>
      <c r="B44" s="29"/>
      <c r="C44" s="29"/>
      <c r="D44" s="29"/>
      <c r="E44" s="29"/>
      <c r="F44" s="29"/>
      <c r="G44" s="29"/>
    </row>
    <row r="45" spans="1:7" ht="15" customHeight="1" x14ac:dyDescent="0.25">
      <c r="A45" s="29"/>
      <c r="B45" s="29"/>
      <c r="C45" s="29"/>
      <c r="D45" s="29"/>
      <c r="E45" s="29"/>
      <c r="F45" s="29"/>
      <c r="G45" s="29"/>
    </row>
    <row r="46" spans="1:7" ht="15" customHeight="1" x14ac:dyDescent="0.25">
      <c r="A46" s="29"/>
      <c r="B46" s="29"/>
      <c r="C46" s="29"/>
      <c r="D46" s="29"/>
      <c r="E46" s="29"/>
      <c r="F46" s="29"/>
      <c r="G46" s="29"/>
    </row>
    <row r="47" spans="1:7" ht="15" customHeight="1" x14ac:dyDescent="0.25">
      <c r="A47" s="29"/>
      <c r="B47" s="29"/>
      <c r="C47" s="29"/>
      <c r="D47" s="29"/>
      <c r="E47" s="29"/>
      <c r="F47" s="29"/>
      <c r="G47" s="29"/>
    </row>
  </sheetData>
  <mergeCells count="3">
    <mergeCell ref="A3:G3"/>
    <mergeCell ref="A2:G2"/>
    <mergeCell ref="A1:G1"/>
  </mergeCells>
  <dataValidations count="3">
    <dataValidation type="list" allowBlank="1" sqref="C5:C47" xr:uid="{00000000-0002-0000-0400-000000000000}">
      <formula1>"Payslip,Bank Statement,Receipt,Insurance Certificate,Tax Document,Other"</formula1>
      <formula2>0</formula2>
    </dataValidation>
    <dataValidation type="list" allowBlank="1" sqref="G5:G47" xr:uid="{00000000-0002-0000-0400-000001000000}">
      <formula1>"Uploaded,Pending,Not Available"</formula1>
      <formula2>0</formula2>
    </dataValidation>
    <dataValidation type="list" allowBlank="1" sqref="E5:E47" xr:uid="{00000000-0002-0000-0400-000002000000}">
      <formula1>"PDF,CSV,JPEG,PNG,Other"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7"/>
  <sheetViews>
    <sheetView showGridLines="0" topLeftCell="A2" zoomScaleNormal="100" workbookViewId="0">
      <selection activeCell="H18" sqref="H18"/>
    </sheetView>
  </sheetViews>
  <sheetFormatPr defaultColWidth="8.7109375" defaultRowHeight="15" x14ac:dyDescent="0.25"/>
  <cols>
    <col min="1" max="1" width="38" customWidth="1"/>
    <col min="2" max="5" width="22" customWidth="1"/>
  </cols>
  <sheetData>
    <row r="1" spans="1:5" ht="27.75" customHeight="1" x14ac:dyDescent="0.25">
      <c r="A1" s="102" t="s">
        <v>0</v>
      </c>
      <c r="B1" s="101"/>
      <c r="C1" s="101"/>
      <c r="D1" s="101"/>
      <c r="E1" s="101"/>
    </row>
    <row r="2" spans="1:5" ht="19.5" customHeight="1" x14ac:dyDescent="0.25">
      <c r="A2" s="100" t="s">
        <v>1</v>
      </c>
      <c r="B2" s="101"/>
      <c r="C2" s="101"/>
      <c r="D2" s="101"/>
      <c r="E2" s="101"/>
    </row>
    <row r="3" spans="1:5" ht="24.75" customHeight="1" x14ac:dyDescent="0.25">
      <c r="A3" s="5" t="s">
        <v>2</v>
      </c>
      <c r="C3" s="5" t="s">
        <v>3</v>
      </c>
      <c r="D3" s="5" t="s">
        <v>4</v>
      </c>
      <c r="E3" s="5" t="s">
        <v>5</v>
      </c>
    </row>
    <row r="4" spans="1:5" ht="18" customHeight="1" x14ac:dyDescent="0.25">
      <c r="A4" s="98" t="s">
        <v>6</v>
      </c>
      <c r="B4" s="99"/>
      <c r="C4" s="99"/>
      <c r="D4" s="99"/>
      <c r="E4" s="99"/>
    </row>
    <row r="5" spans="1:5" ht="15" customHeight="1" x14ac:dyDescent="0.25">
      <c r="A5" s="25" t="s">
        <v>7</v>
      </c>
      <c r="B5" s="15"/>
      <c r="C5" s="15">
        <f>SUM('Salary Log'!C5:C16)</f>
        <v>51600</v>
      </c>
      <c r="D5" s="15">
        <f>SUM('Salary Log'!C5:C16)</f>
        <v>51600</v>
      </c>
      <c r="E5" s="15">
        <f>D5-C5</f>
        <v>0</v>
      </c>
    </row>
    <row r="6" spans="1:5" ht="15" customHeight="1" x14ac:dyDescent="0.25">
      <c r="A6" s="22" t="s">
        <v>8</v>
      </c>
      <c r="B6" s="9"/>
      <c r="C6" s="9">
        <f>0</f>
        <v>0</v>
      </c>
      <c r="D6" s="9">
        <f>SUMIF('Part-time Log'!G5:G39,"Work",'Part-time Log'!E5:E39)</f>
        <v>10082.240000000002</v>
      </c>
      <c r="E6" s="9">
        <f>D6-C6</f>
        <v>10082.240000000002</v>
      </c>
    </row>
    <row r="7" spans="1:5" ht="15" customHeight="1" x14ac:dyDescent="0.25">
      <c r="A7" s="36" t="s">
        <v>9</v>
      </c>
      <c r="B7" s="37"/>
      <c r="C7" s="37">
        <f>C5+C6</f>
        <v>51600</v>
      </c>
      <c r="D7" s="37">
        <f>D5+D6</f>
        <v>61682.240000000005</v>
      </c>
      <c r="E7" s="37">
        <f>D7-C7</f>
        <v>10082.240000000005</v>
      </c>
    </row>
    <row r="8" spans="1:5" ht="18" customHeight="1" x14ac:dyDescent="0.25">
      <c r="A8" s="98" t="s">
        <v>10</v>
      </c>
      <c r="B8" s="99"/>
      <c r="C8" s="99"/>
      <c r="D8" s="99"/>
      <c r="E8" s="99"/>
    </row>
    <row r="9" spans="1:5" ht="15" customHeight="1" x14ac:dyDescent="0.25">
      <c r="A9" s="25" t="s">
        <v>11</v>
      </c>
      <c r="B9" s="15"/>
      <c r="C9" s="15">
        <f>SUM('Salary Log'!D5:D16)</f>
        <v>5676</v>
      </c>
      <c r="D9" s="15">
        <f>SUM('Salary Log'!D5:D16)</f>
        <v>5676</v>
      </c>
      <c r="E9" s="15">
        <f>D9-C9</f>
        <v>0</v>
      </c>
    </row>
    <row r="10" spans="1:5" ht="15" customHeight="1" x14ac:dyDescent="0.25">
      <c r="A10" s="22" t="s">
        <v>12</v>
      </c>
      <c r="B10" s="9"/>
      <c r="C10" s="9">
        <f>SUM('Salary Log'!E5:E16)</f>
        <v>233.25</v>
      </c>
      <c r="D10" s="9">
        <f>SUM('Salary Log'!E5:E16)</f>
        <v>233.25</v>
      </c>
      <c r="E10" s="9">
        <f>D10-C10</f>
        <v>0</v>
      </c>
    </row>
    <row r="11" spans="1:5" ht="15" customHeight="1" x14ac:dyDescent="0.25">
      <c r="A11" s="25" t="s">
        <v>13</v>
      </c>
      <c r="B11" s="15"/>
      <c r="C11" s="15">
        <f>SUM('Salary Log'!F5:F16)</f>
        <v>94.2</v>
      </c>
      <c r="D11" s="15">
        <f>SUM('Salary Log'!F5:F16)</f>
        <v>94.2</v>
      </c>
      <c r="E11" s="15">
        <f>D11-C11</f>
        <v>0</v>
      </c>
    </row>
    <row r="12" spans="1:5" ht="15" customHeight="1" x14ac:dyDescent="0.25">
      <c r="A12" s="36" t="s">
        <v>14</v>
      </c>
      <c r="B12" s="37"/>
      <c r="C12" s="37">
        <f>C9+C10+C11</f>
        <v>6003.45</v>
      </c>
      <c r="D12" s="37">
        <f>D9+D10+D11</f>
        <v>6003.45</v>
      </c>
      <c r="E12" s="37">
        <f>D12-C12</f>
        <v>0</v>
      </c>
    </row>
    <row r="13" spans="1:5" ht="15" customHeight="1" x14ac:dyDescent="0.25">
      <c r="A13" s="38" t="s">
        <v>15</v>
      </c>
      <c r="B13" s="39"/>
      <c r="C13" s="39">
        <f>C7-C12</f>
        <v>45596.55</v>
      </c>
      <c r="D13" s="39">
        <f>D7-D12</f>
        <v>55678.790000000008</v>
      </c>
      <c r="E13" s="39">
        <f>D13-C13</f>
        <v>10082.240000000005</v>
      </c>
    </row>
    <row r="14" spans="1:5" ht="18" customHeight="1" x14ac:dyDescent="0.25">
      <c r="A14" s="98" t="s">
        <v>16</v>
      </c>
      <c r="B14" s="99"/>
      <c r="C14" s="99"/>
      <c r="D14" s="99"/>
      <c r="E14" s="99"/>
    </row>
    <row r="15" spans="1:5" ht="15" customHeight="1" x14ac:dyDescent="0.25">
      <c r="A15" s="22" t="s">
        <v>17</v>
      </c>
      <c r="B15" s="9"/>
      <c r="C15" s="9">
        <f>9000</f>
        <v>9000</v>
      </c>
      <c r="D15" s="9">
        <f>9000</f>
        <v>9000</v>
      </c>
      <c r="E15" s="9">
        <f t="shared" ref="E15:E23" si="0">D15-C15</f>
        <v>0</v>
      </c>
    </row>
    <row r="16" spans="1:5" ht="15" customHeight="1" x14ac:dyDescent="0.25">
      <c r="A16" s="22" t="s">
        <v>18</v>
      </c>
      <c r="B16" s="9"/>
      <c r="C16" s="9">
        <f>SUMIF(Purchases!E5:E500,"Life Insurance",Purchases!F5:F500)</f>
        <v>180</v>
      </c>
      <c r="D16" s="9">
        <f>SUMIF(Purchases!E5:E500,"Life Insurance",Purchases!F5:F500)</f>
        <v>180</v>
      </c>
      <c r="E16" s="9">
        <f t="shared" si="0"/>
        <v>0</v>
      </c>
    </row>
    <row r="17" spans="1:5" ht="15" customHeight="1" x14ac:dyDescent="0.25">
      <c r="A17" s="25" t="s">
        <v>19</v>
      </c>
      <c r="B17" s="15"/>
      <c r="C17" s="15">
        <f>MIN(SUMIF(Purchases!E5:E500,"Lifestyle-WiFi",Purchases!F5:F500)+SUMIF(Purchases!E5:E500,"Lifestyle-Phone/Book/Gadget",Purchases!F5:F500)+SUMIF(Purchases!E5:E500,"Lifestyle-Sports/Gym",Purchases!F5:F500),2500)</f>
        <v>566.1</v>
      </c>
      <c r="D17" s="15">
        <f>MIN(SUMIF(Purchases!E5:E500,"Lifestyle-WiFi",Purchases!F5:F500)+SUMIF(Purchases!E5:E500,"Lifestyle-Phone/Book/Gadget",Purchases!F5:F500)+SUMIF(Purchases!E5:E500,"Lifestyle-Sports/Gym",Purchases!F5:F500),2500)</f>
        <v>566.1</v>
      </c>
      <c r="E17" s="15">
        <f t="shared" si="0"/>
        <v>0</v>
      </c>
    </row>
    <row r="18" spans="1:5" ht="15" customHeight="1" x14ac:dyDescent="0.25">
      <c r="A18" s="22" t="s">
        <v>20</v>
      </c>
      <c r="B18" s="9"/>
      <c r="C18" s="9">
        <f>MIN(SUM('Salary Log'!E5:E16),350)</f>
        <v>233.25</v>
      </c>
      <c r="D18" s="9">
        <f>MIN(SUM('Salary Log'!E5:E16),350)</f>
        <v>233.25</v>
      </c>
      <c r="E18" s="9">
        <f t="shared" si="0"/>
        <v>0</v>
      </c>
    </row>
    <row r="19" spans="1:5" ht="15" customHeight="1" x14ac:dyDescent="0.25">
      <c r="A19" s="25" t="s">
        <v>21</v>
      </c>
      <c r="B19" s="15"/>
      <c r="C19" s="15">
        <f>MIN(SUMIF(Purchases!E5:E500,"Medical/Dental/Checkup",Purchases!F5:F500),1000)</f>
        <v>0</v>
      </c>
      <c r="D19" s="15">
        <f>MIN(SUMIF(Purchases!E5:E500,"Medical/Dental/Checkup",Purchases!F5:F500),1000)</f>
        <v>0</v>
      </c>
      <c r="E19" s="15">
        <f t="shared" si="0"/>
        <v>0</v>
      </c>
    </row>
    <row r="20" spans="1:5" ht="15" customHeight="1" x14ac:dyDescent="0.25">
      <c r="A20" s="22" t="s">
        <v>22</v>
      </c>
      <c r="B20" s="9"/>
      <c r="C20" s="9">
        <f>MIN(SUMIF(Purchases!E5:E500,"SSPN",Purchases!F5:F500),8000)</f>
        <v>0</v>
      </c>
      <c r="D20" s="9">
        <f>MIN(SUMIF(Purchases!E5:E500,"SSPN",Purchases!F5:F500),8000)</f>
        <v>0</v>
      </c>
      <c r="E20" s="9">
        <f t="shared" si="0"/>
        <v>0</v>
      </c>
    </row>
    <row r="21" spans="1:5" ht="15" customHeight="1" x14ac:dyDescent="0.25">
      <c r="A21" s="25" t="s">
        <v>23</v>
      </c>
      <c r="B21" s="15"/>
      <c r="C21" s="15">
        <f>MIN(SUMIF(Purchases!E5:E500,"PRS",Purchases!F5:F500),3000)</f>
        <v>0</v>
      </c>
      <c r="D21" s="15">
        <f>MIN(SUMIF(Purchases!E5:E500,"PRS",Purchases!F5:F500),3000)</f>
        <v>0</v>
      </c>
      <c r="E21" s="15">
        <f t="shared" si="0"/>
        <v>0</v>
      </c>
    </row>
    <row r="22" spans="1:5" ht="15" customHeight="1" x14ac:dyDescent="0.25">
      <c r="A22" s="22" t="s">
        <v>24</v>
      </c>
      <c r="B22" s="9"/>
      <c r="C22" s="9">
        <f>MIN(SUMIF(Purchases!E5:E500,"Skills Course",Purchases!F5:F500),7000)</f>
        <v>0</v>
      </c>
      <c r="D22" s="9">
        <f>MIN(SUMIF(Purchases!E5:E500,"Skills Course",Purchases!F5:F500),7000)</f>
        <v>0</v>
      </c>
      <c r="E22" s="9">
        <f t="shared" si="0"/>
        <v>0</v>
      </c>
    </row>
    <row r="23" spans="1:5" ht="15" customHeight="1" x14ac:dyDescent="0.25">
      <c r="A23" s="38" t="s">
        <v>25</v>
      </c>
      <c r="B23" s="39"/>
      <c r="C23" s="39">
        <f>SUM(C15:C22)</f>
        <v>9979.35</v>
      </c>
      <c r="D23" s="39">
        <f>SUM(D15:D22)</f>
        <v>9979.35</v>
      </c>
      <c r="E23" s="39">
        <f t="shared" si="0"/>
        <v>0</v>
      </c>
    </row>
    <row r="24" spans="1:5" ht="18" customHeight="1" x14ac:dyDescent="0.25">
      <c r="A24" s="98" t="s">
        <v>26</v>
      </c>
      <c r="B24" s="99"/>
      <c r="C24" s="99"/>
      <c r="D24" s="99"/>
      <c r="E24" s="99"/>
    </row>
    <row r="25" spans="1:5" ht="15" customHeight="1" x14ac:dyDescent="0.25">
      <c r="A25" s="35" t="s">
        <v>27</v>
      </c>
      <c r="B25" s="40"/>
      <c r="C25" s="40">
        <f>MAX(0,C13-C23)</f>
        <v>35617.200000000004</v>
      </c>
      <c r="D25" s="40">
        <f>MAX(0,D13-D23)</f>
        <v>45699.44000000001</v>
      </c>
      <c r="E25" s="40">
        <f>D25-C25</f>
        <v>10082.240000000005</v>
      </c>
    </row>
    <row r="26" spans="1:5" ht="15" customHeight="1" x14ac:dyDescent="0.25">
      <c r="A26" s="41" t="s">
        <v>28</v>
      </c>
      <c r="B26" s="42"/>
      <c r="C26" s="42">
        <f>IF(C25&lt;=5000,0,IF(C25&lt;=20000,(C25-5000)*0.01,IF(C25&lt;=35000,150+(C25-20000)*0.03,IF(C25&lt;=50000,600+(C25-35000)*0.06,IF(C25&lt;=70000,1500+(C25-50000)*0.11,IF(C25&lt;=100000,3700+(C25-70000)*0.19,9400+(C25-100000)*0.25))))))</f>
        <v>637.03200000000027</v>
      </c>
      <c r="D26" s="42">
        <f>IF(D25&lt;=5000,0,IF(D25&lt;=20000,(D25-5000)*0.01,IF(D25&lt;=35000,150+(D25-20000)*0.03,IF(D25&lt;=50000,600+(D25-35000)*0.06,IF(D25&lt;=70000,1500+(D25-50000)*0.11,IF(D25&lt;=100000,3700+(D25-70000)*0.19,9400+(D25-100000)*0.25))))))</f>
        <v>1241.9664000000007</v>
      </c>
      <c r="E26" s="42">
        <f>D26-C26</f>
        <v>604.93440000000044</v>
      </c>
    </row>
    <row r="27" spans="1:5" ht="15" customHeight="1" x14ac:dyDescent="0.25">
      <c r="A27" s="25" t="s">
        <v>29</v>
      </c>
      <c r="B27" s="33"/>
      <c r="C27" s="33">
        <f>IF(C7&gt;0,C26/C7,0)</f>
        <v>1.2345581395348842E-2</v>
      </c>
      <c r="D27" s="33">
        <f>IF(D7&gt;0,D26/D7,0)</f>
        <v>2.0134910794419928E-2</v>
      </c>
      <c r="E27" s="33">
        <f>D27-C27</f>
        <v>7.7893293990710863E-3</v>
      </c>
    </row>
    <row r="28" spans="1:5" ht="15" customHeight="1" x14ac:dyDescent="0.25">
      <c r="A28" s="41" t="s">
        <v>30</v>
      </c>
      <c r="B28" s="42"/>
      <c r="C28" s="42">
        <f>0</f>
        <v>0</v>
      </c>
      <c r="D28" s="42">
        <f>MAX(0,D26-C26)</f>
        <v>604.93440000000044</v>
      </c>
      <c r="E28" s="42">
        <f>D28-C28</f>
        <v>604.93440000000044</v>
      </c>
    </row>
    <row r="29" spans="1:5" ht="18" customHeight="1" x14ac:dyDescent="0.25">
      <c r="A29" s="98" t="s">
        <v>31</v>
      </c>
      <c r="B29" s="99"/>
      <c r="C29" s="99"/>
      <c r="D29" s="99"/>
      <c r="E29" s="99"/>
    </row>
    <row r="30" spans="1:5" ht="15" customHeight="1" x14ac:dyDescent="0.25">
      <c r="A30" s="22" t="s">
        <v>32</v>
      </c>
      <c r="B30" s="9"/>
      <c r="C30" s="9">
        <f>SUM('Salary Log'!H5:H9)</f>
        <v>627.45000000000005</v>
      </c>
      <c r="D30" s="9">
        <f>SUM('Salary Log'!H5:H9)</f>
        <v>627.45000000000005</v>
      </c>
      <c r="E30" s="9">
        <f t="shared" ref="E30:E35" si="1">D30-C30</f>
        <v>0</v>
      </c>
    </row>
    <row r="31" spans="1:5" ht="15" customHeight="1" x14ac:dyDescent="0.25">
      <c r="A31" s="25" t="s">
        <v>33</v>
      </c>
      <c r="B31" s="15"/>
      <c r="C31" s="15">
        <f>MAX(0,C26-C30)</f>
        <v>9.582000000000221</v>
      </c>
      <c r="D31" s="15">
        <f>MAX(0,C26-C30)</f>
        <v>9.582000000000221</v>
      </c>
      <c r="E31" s="15">
        <f t="shared" si="1"/>
        <v>0</v>
      </c>
    </row>
    <row r="32" spans="1:5" ht="15" customHeight="1" x14ac:dyDescent="0.25">
      <c r="A32" s="22" t="s">
        <v>34</v>
      </c>
      <c r="B32" s="9"/>
      <c r="C32" s="9">
        <f>C31/7</f>
        <v>1.3688571428571745</v>
      </c>
      <c r="D32" s="9">
        <f>D31/7</f>
        <v>1.3688571428571745</v>
      </c>
      <c r="E32" s="9">
        <f t="shared" si="1"/>
        <v>0</v>
      </c>
    </row>
    <row r="33" spans="1:5" ht="15" customHeight="1" x14ac:dyDescent="0.25">
      <c r="A33" s="41" t="s">
        <v>35</v>
      </c>
      <c r="B33" s="42"/>
      <c r="C33" s="42">
        <f>0</f>
        <v>0</v>
      </c>
      <c r="D33" s="42">
        <f>D28</f>
        <v>604.93440000000044</v>
      </c>
      <c r="E33" s="42">
        <f t="shared" si="1"/>
        <v>604.93440000000044</v>
      </c>
    </row>
    <row r="34" spans="1:5" ht="15" customHeight="1" x14ac:dyDescent="0.25">
      <c r="A34" s="41" t="s">
        <v>36</v>
      </c>
      <c r="B34" s="42"/>
      <c r="C34" s="42">
        <f>C31+C33</f>
        <v>9.582000000000221</v>
      </c>
      <c r="D34" s="42">
        <f>D31+D33</f>
        <v>614.51640000000066</v>
      </c>
      <c r="E34" s="42">
        <f t="shared" si="1"/>
        <v>604.93440000000044</v>
      </c>
    </row>
    <row r="35" spans="1:5" ht="15" customHeight="1" x14ac:dyDescent="0.25">
      <c r="A35" s="35" t="s">
        <v>37</v>
      </c>
      <c r="B35" s="40"/>
      <c r="C35" s="40">
        <f>C33/7</f>
        <v>0</v>
      </c>
      <c r="D35" s="40">
        <f>D33/7</f>
        <v>86.41920000000006</v>
      </c>
      <c r="E35" s="40">
        <f t="shared" si="1"/>
        <v>86.41920000000006</v>
      </c>
    </row>
    <row r="37" spans="1:5" ht="30" customHeight="1" x14ac:dyDescent="0.25">
      <c r="A37" s="103" t="s">
        <v>38</v>
      </c>
      <c r="B37" s="104"/>
      <c r="C37" s="104"/>
      <c r="D37" s="104"/>
      <c r="E37" s="104"/>
    </row>
  </sheetData>
  <mergeCells count="8">
    <mergeCell ref="A1:E1"/>
    <mergeCell ref="A37:E37"/>
    <mergeCell ref="A14:E14"/>
    <mergeCell ref="A29:E29"/>
    <mergeCell ref="A4:E4"/>
    <mergeCell ref="A24:E24"/>
    <mergeCell ref="A2:E2"/>
    <mergeCell ref="A8:E8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6"/>
  <sheetViews>
    <sheetView showGridLines="0" zoomScaleNormal="100" workbookViewId="0">
      <selection sqref="A1:I1"/>
    </sheetView>
  </sheetViews>
  <sheetFormatPr defaultColWidth="8.7109375" defaultRowHeight="15" x14ac:dyDescent="0.25"/>
  <cols>
    <col min="1" max="1" width="10" customWidth="1"/>
    <col min="2" max="5" width="16" customWidth="1"/>
    <col min="6" max="8" width="18" customWidth="1"/>
    <col min="9" max="9" width="16" customWidth="1"/>
  </cols>
  <sheetData>
    <row r="1" spans="1:9" ht="27.75" customHeight="1" x14ac:dyDescent="0.25">
      <c r="A1" s="102" t="s">
        <v>274</v>
      </c>
      <c r="B1" s="101"/>
      <c r="C1" s="101"/>
      <c r="D1" s="101"/>
      <c r="E1" s="101"/>
      <c r="F1" s="101"/>
      <c r="G1" s="101"/>
      <c r="H1" s="101"/>
      <c r="I1" s="101"/>
    </row>
    <row r="2" spans="1:9" ht="19.5" customHeight="1" x14ac:dyDescent="0.25">
      <c r="A2" s="100" t="s">
        <v>275</v>
      </c>
      <c r="B2" s="101"/>
      <c r="C2" s="101"/>
      <c r="D2" s="101"/>
      <c r="E2" s="101"/>
      <c r="F2" s="101"/>
      <c r="G2" s="101"/>
      <c r="H2" s="101"/>
      <c r="I2" s="101"/>
    </row>
    <row r="3" spans="1:9" ht="30" customHeight="1" x14ac:dyDescent="0.25">
      <c r="A3" s="5" t="s">
        <v>64</v>
      </c>
      <c r="B3" s="5" t="s">
        <v>276</v>
      </c>
      <c r="C3" s="5" t="s">
        <v>277</v>
      </c>
      <c r="D3" s="5" t="s">
        <v>278</v>
      </c>
      <c r="E3" s="5" t="s">
        <v>279</v>
      </c>
      <c r="F3" s="5" t="s">
        <v>280</v>
      </c>
      <c r="G3" s="5" t="s">
        <v>281</v>
      </c>
      <c r="H3" s="5" t="s">
        <v>187</v>
      </c>
      <c r="I3" s="5" t="s">
        <v>75</v>
      </c>
    </row>
    <row r="4" spans="1:9" ht="15" customHeight="1" x14ac:dyDescent="0.25">
      <c r="A4" s="6" t="s">
        <v>76</v>
      </c>
      <c r="B4" s="9">
        <f>'Salary Log'!C5</f>
        <v>3100</v>
      </c>
      <c r="C4" s="9">
        <f>SUMIFS('Part-time Log'!E5:E39,'Part-time Log'!A5:A39,A4,'Part-time Log'!G5:G39,"Work")</f>
        <v>333.33</v>
      </c>
      <c r="D4" s="9">
        <v>0</v>
      </c>
      <c r="E4" s="9">
        <v>0</v>
      </c>
      <c r="F4" s="10">
        <f>SUM(E4:E4)</f>
        <v>0</v>
      </c>
      <c r="G4" s="9">
        <f>SUM(D4:D4)</f>
        <v>0</v>
      </c>
      <c r="H4" s="43" t="s">
        <v>282</v>
      </c>
      <c r="I4" s="22" t="s">
        <v>283</v>
      </c>
    </row>
    <row r="5" spans="1:9" ht="15" customHeight="1" x14ac:dyDescent="0.25">
      <c r="A5" s="12" t="s">
        <v>81</v>
      </c>
      <c r="B5" s="15">
        <f>'Salary Log'!C6</f>
        <v>4500</v>
      </c>
      <c r="C5" s="15">
        <f>SUMIFS('Part-time Log'!E5:E39,'Part-time Log'!A5:A39,A5,'Part-time Log'!G5:G39,"Work")</f>
        <v>2000</v>
      </c>
      <c r="D5" s="15">
        <v>79.349999999999994</v>
      </c>
      <c r="E5" s="15">
        <v>79.349999999999994</v>
      </c>
      <c r="F5" s="16">
        <f>SUM(E4:E5)</f>
        <v>79.349999999999994</v>
      </c>
      <c r="G5" s="15">
        <f>SUM(D4:D5)</f>
        <v>79.349999999999994</v>
      </c>
      <c r="H5" s="43" t="s">
        <v>282</v>
      </c>
      <c r="I5" s="25" t="s">
        <v>283</v>
      </c>
    </row>
    <row r="6" spans="1:9" ht="15" customHeight="1" x14ac:dyDescent="0.25">
      <c r="A6" s="6" t="s">
        <v>84</v>
      </c>
      <c r="B6" s="9">
        <f>'Salary Log'!C7</f>
        <v>4500</v>
      </c>
      <c r="C6" s="9">
        <f>SUMIFS('Part-time Log'!E5:E39,'Part-time Log'!A5:A39,A6,'Part-time Log'!G5:G39,"Work")</f>
        <v>2110.8000000000002</v>
      </c>
      <c r="D6" s="9">
        <v>79.2</v>
      </c>
      <c r="E6" s="9">
        <v>79.2</v>
      </c>
      <c r="F6" s="10">
        <f>SUM(E4:E6)</f>
        <v>158.55000000000001</v>
      </c>
      <c r="G6" s="9">
        <f>SUM(D4:D6)</f>
        <v>158.55000000000001</v>
      </c>
      <c r="H6" s="43" t="s">
        <v>282</v>
      </c>
      <c r="I6" s="22" t="s">
        <v>283</v>
      </c>
    </row>
    <row r="7" spans="1:9" ht="15" customHeight="1" x14ac:dyDescent="0.25">
      <c r="A7" s="12" t="s">
        <v>87</v>
      </c>
      <c r="B7" s="15">
        <f>'Salary Log'!C8</f>
        <v>4000</v>
      </c>
      <c r="C7" s="15">
        <f>SUMIFS('Part-time Log'!E5:E39,'Part-time Log'!A5:A39,A7,'Part-time Log'!G5:G39,"Work")</f>
        <v>2000</v>
      </c>
      <c r="D7" s="15">
        <v>0</v>
      </c>
      <c r="E7" s="15">
        <v>0</v>
      </c>
      <c r="F7" s="16">
        <f>SUM(E4:E7)</f>
        <v>158.55000000000001</v>
      </c>
      <c r="G7" s="15">
        <f>SUM(D4:D7)</f>
        <v>158.55000000000001</v>
      </c>
      <c r="H7" s="43" t="s">
        <v>282</v>
      </c>
      <c r="I7" s="25" t="s">
        <v>283</v>
      </c>
    </row>
    <row r="8" spans="1:9" ht="15" customHeight="1" x14ac:dyDescent="0.25">
      <c r="A8" s="6" t="s">
        <v>90</v>
      </c>
      <c r="B8" s="9">
        <f>'Salary Log'!C9</f>
        <v>4500</v>
      </c>
      <c r="C8" s="9">
        <f>SUMIFS('Part-time Log'!E5:E39,'Part-time Log'!A5:A39,A8,'Part-time Log'!G5:G39,"Work")</f>
        <v>2000</v>
      </c>
      <c r="D8" s="9">
        <v>468.9</v>
      </c>
      <c r="E8" s="9">
        <v>468.9</v>
      </c>
      <c r="F8" s="10">
        <f>SUM(E4:E8)</f>
        <v>627.45000000000005</v>
      </c>
      <c r="G8" s="9">
        <f>SUM(D4:D8)</f>
        <v>627.45000000000005</v>
      </c>
      <c r="H8" s="43" t="s">
        <v>282</v>
      </c>
      <c r="I8" s="22" t="s">
        <v>283</v>
      </c>
    </row>
    <row r="9" spans="1:9" ht="15" customHeight="1" x14ac:dyDescent="0.25">
      <c r="A9" s="12" t="s">
        <v>93</v>
      </c>
      <c r="B9" s="15">
        <f>'Salary Log'!C10</f>
        <v>4000</v>
      </c>
      <c r="C9" s="15">
        <f>SUMIFS('Part-time Log'!E5:E39,'Part-time Log'!A5:A39,A9,'Part-time Log'!G5:G39,"Work")</f>
        <v>1638.11</v>
      </c>
      <c r="D9" s="15">
        <v>0</v>
      </c>
      <c r="E9" s="15">
        <f>'Tax Engine'!D32</f>
        <v>1.3688571428571745</v>
      </c>
      <c r="F9" s="16">
        <f>SUM(E4:E9)</f>
        <v>628.81885714285727</v>
      </c>
      <c r="G9" s="15">
        <f>SUM(D4:D9)</f>
        <v>627.45000000000005</v>
      </c>
      <c r="H9" s="28" t="s">
        <v>284</v>
      </c>
      <c r="I9" s="25" t="s">
        <v>285</v>
      </c>
    </row>
    <row r="10" spans="1:9" ht="15" customHeight="1" x14ac:dyDescent="0.25">
      <c r="A10" s="6" t="s">
        <v>96</v>
      </c>
      <c r="B10" s="9">
        <f>'Salary Log'!C11</f>
        <v>4500</v>
      </c>
      <c r="C10" s="9">
        <f>SUMIFS('Part-time Log'!E5:E39,'Part-time Log'!A5:A39,A10,'Part-time Log'!G5:G39,"Work")</f>
        <v>0</v>
      </c>
      <c r="D10" s="9">
        <v>0</v>
      </c>
      <c r="E10" s="9">
        <f>'Tax Engine'!D32</f>
        <v>1.3688571428571745</v>
      </c>
      <c r="F10" s="10">
        <f>SUM(E4:E10)</f>
        <v>630.18771428571449</v>
      </c>
      <c r="G10" s="9">
        <f>SUM(D4:D10)</f>
        <v>627.45000000000005</v>
      </c>
      <c r="H10" s="44" t="s">
        <v>286</v>
      </c>
      <c r="I10" s="22" t="s">
        <v>99</v>
      </c>
    </row>
    <row r="11" spans="1:9" ht="15" customHeight="1" x14ac:dyDescent="0.25">
      <c r="A11" s="12" t="s">
        <v>101</v>
      </c>
      <c r="B11" s="15">
        <f>'Salary Log'!C12</f>
        <v>4500</v>
      </c>
      <c r="C11" s="15">
        <f>SUMIFS('Part-time Log'!E5:E39,'Part-time Log'!A5:A39,A11,'Part-time Log'!G5:G39,"Work")</f>
        <v>0</v>
      </c>
      <c r="D11" s="15">
        <v>0</v>
      </c>
      <c r="E11" s="15">
        <f>'Tax Engine'!D32</f>
        <v>1.3688571428571745</v>
      </c>
      <c r="F11" s="16">
        <f>SUM(E4:E11)</f>
        <v>631.55657142857171</v>
      </c>
      <c r="G11" s="15">
        <f>SUM(D4:D11)</f>
        <v>627.45000000000005</v>
      </c>
      <c r="H11" s="44" t="s">
        <v>286</v>
      </c>
      <c r="I11" s="25" t="s">
        <v>99</v>
      </c>
    </row>
    <row r="12" spans="1:9" ht="15" customHeight="1" x14ac:dyDescent="0.25">
      <c r="A12" s="6" t="s">
        <v>104</v>
      </c>
      <c r="B12" s="9">
        <f>'Salary Log'!C13</f>
        <v>4500</v>
      </c>
      <c r="C12" s="9">
        <f>SUMIFS('Part-time Log'!E5:E39,'Part-time Log'!A5:A39,A12,'Part-time Log'!G5:G39,"Work")</f>
        <v>0</v>
      </c>
      <c r="D12" s="9">
        <v>0</v>
      </c>
      <c r="E12" s="9">
        <f>'Tax Engine'!D32</f>
        <v>1.3688571428571745</v>
      </c>
      <c r="F12" s="10">
        <f>SUM(E4:E12)</f>
        <v>632.92542857142894</v>
      </c>
      <c r="G12" s="9">
        <f>SUM(D4:D12)</f>
        <v>627.45000000000005</v>
      </c>
      <c r="H12" s="44" t="s">
        <v>286</v>
      </c>
      <c r="I12" s="22" t="s">
        <v>99</v>
      </c>
    </row>
    <row r="13" spans="1:9" ht="15" customHeight="1" x14ac:dyDescent="0.25">
      <c r="A13" s="12" t="s">
        <v>107</v>
      </c>
      <c r="B13" s="15">
        <f>'Salary Log'!C14</f>
        <v>4500</v>
      </c>
      <c r="C13" s="15">
        <f>SUMIFS('Part-time Log'!E5:E39,'Part-time Log'!A5:A39,A13,'Part-time Log'!G5:G39,"Work")</f>
        <v>0</v>
      </c>
      <c r="D13" s="15">
        <v>0</v>
      </c>
      <c r="E13" s="15">
        <f>'Tax Engine'!D32</f>
        <v>1.3688571428571745</v>
      </c>
      <c r="F13" s="16">
        <f>SUM(E4:E13)</f>
        <v>634.29428571428616</v>
      </c>
      <c r="G13" s="15">
        <f>SUM(D4:D13)</f>
        <v>627.45000000000005</v>
      </c>
      <c r="H13" s="44" t="s">
        <v>286</v>
      </c>
      <c r="I13" s="25" t="s">
        <v>99</v>
      </c>
    </row>
    <row r="14" spans="1:9" ht="15" customHeight="1" x14ac:dyDescent="0.25">
      <c r="A14" s="6" t="s">
        <v>110</v>
      </c>
      <c r="B14" s="9">
        <f>'Salary Log'!C15</f>
        <v>4500</v>
      </c>
      <c r="C14" s="9">
        <f>SUMIFS('Part-time Log'!E5:E39,'Part-time Log'!A5:A39,A14,'Part-time Log'!G5:G39,"Work")</f>
        <v>0</v>
      </c>
      <c r="D14" s="9">
        <v>0</v>
      </c>
      <c r="E14" s="9">
        <f>'Tax Engine'!D32</f>
        <v>1.3688571428571745</v>
      </c>
      <c r="F14" s="10">
        <f>SUM(E4:E14)</f>
        <v>635.66314285714338</v>
      </c>
      <c r="G14" s="9">
        <f>SUM(D4:D14)</f>
        <v>627.45000000000005</v>
      </c>
      <c r="H14" s="44" t="s">
        <v>286</v>
      </c>
      <c r="I14" s="22" t="s">
        <v>99</v>
      </c>
    </row>
    <row r="15" spans="1:9" ht="15" customHeight="1" x14ac:dyDescent="0.25">
      <c r="A15" s="12" t="s">
        <v>113</v>
      </c>
      <c r="B15" s="15">
        <f>'Salary Log'!C16</f>
        <v>4500</v>
      </c>
      <c r="C15" s="15">
        <f>SUMIFS('Part-time Log'!E5:E39,'Part-time Log'!A5:A39,A15,'Part-time Log'!G5:G39,"Work")</f>
        <v>0</v>
      </c>
      <c r="D15" s="15">
        <v>0</v>
      </c>
      <c r="E15" s="15">
        <f>'Tax Engine'!D32</f>
        <v>1.3688571428571745</v>
      </c>
      <c r="F15" s="16">
        <f>SUM(E4:E15)</f>
        <v>637.03200000000061</v>
      </c>
      <c r="G15" s="15">
        <f>SUM(D4:D15)</f>
        <v>627.45000000000005</v>
      </c>
      <c r="H15" s="44" t="s">
        <v>286</v>
      </c>
      <c r="I15" s="25" t="s">
        <v>99</v>
      </c>
    </row>
    <row r="16" spans="1:9" ht="21.75" customHeight="1" x14ac:dyDescent="0.25">
      <c r="A16" s="20" t="s">
        <v>287</v>
      </c>
      <c r="B16" s="21"/>
      <c r="C16" s="21">
        <f>SUM(B4:B15)</f>
        <v>51600</v>
      </c>
      <c r="D16" s="21">
        <f>SUM(C4:C15)</f>
        <v>10082.240000000002</v>
      </c>
      <c r="E16" s="21">
        <f>SUM(D4:D15)</f>
        <v>627.45000000000005</v>
      </c>
      <c r="F16" s="21">
        <f>SUM(E4:E15)</f>
        <v>637.03200000000061</v>
      </c>
      <c r="G16" s="21">
        <f>E15</f>
        <v>1.3688571428571745</v>
      </c>
      <c r="H16" s="45">
        <f>D15</f>
        <v>0</v>
      </c>
      <c r="I16" s="46"/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9"/>
  <sheetViews>
    <sheetView showGridLines="0" topLeftCell="A42" zoomScaleNormal="100" workbookViewId="0">
      <selection sqref="A1:D1"/>
    </sheetView>
  </sheetViews>
  <sheetFormatPr defaultColWidth="8.7109375" defaultRowHeight="15" x14ac:dyDescent="0.25"/>
  <cols>
    <col min="1" max="1" width="30" customWidth="1"/>
    <col min="2" max="2" width="36" customWidth="1"/>
    <col min="3" max="3" width="22" customWidth="1"/>
    <col min="4" max="4" width="30" customWidth="1"/>
  </cols>
  <sheetData>
    <row r="1" spans="1:4" ht="30" customHeight="1" x14ac:dyDescent="0.25">
      <c r="A1" s="102" t="s">
        <v>288</v>
      </c>
      <c r="B1" s="101"/>
      <c r="C1" s="101"/>
      <c r="D1" s="101"/>
    </row>
    <row r="2" spans="1:4" ht="18" customHeight="1" x14ac:dyDescent="0.25">
      <c r="A2" s="100" t="s">
        <v>289</v>
      </c>
      <c r="B2" s="101"/>
      <c r="C2" s="101"/>
      <c r="D2" s="101"/>
    </row>
    <row r="3" spans="1:4" ht="27.75" customHeight="1" x14ac:dyDescent="0.25">
      <c r="A3" s="5" t="s">
        <v>290</v>
      </c>
      <c r="B3" s="5" t="s">
        <v>291</v>
      </c>
      <c r="C3" s="5" t="s">
        <v>292</v>
      </c>
      <c r="D3" s="5" t="s">
        <v>293</v>
      </c>
    </row>
    <row r="4" spans="1:4" ht="21.75" customHeight="1" x14ac:dyDescent="0.25">
      <c r="A4" s="127" t="s">
        <v>294</v>
      </c>
      <c r="B4" s="101"/>
      <c r="C4" s="101"/>
      <c r="D4" s="101"/>
    </row>
    <row r="5" spans="1:4" ht="24" customHeight="1" x14ac:dyDescent="0.25">
      <c r="A5" s="47" t="s">
        <v>295</v>
      </c>
      <c r="B5" s="48" t="s">
        <v>296</v>
      </c>
      <c r="C5" s="49" t="s">
        <v>297</v>
      </c>
      <c r="D5" s="48" t="s">
        <v>298</v>
      </c>
    </row>
    <row r="6" spans="1:4" ht="24" customHeight="1" x14ac:dyDescent="0.25">
      <c r="A6" s="50" t="s">
        <v>299</v>
      </c>
      <c r="B6" s="51" t="s">
        <v>300</v>
      </c>
      <c r="C6" s="52" t="s">
        <v>301</v>
      </c>
      <c r="D6" s="51" t="s">
        <v>302</v>
      </c>
    </row>
    <row r="7" spans="1:4" ht="24" customHeight="1" x14ac:dyDescent="0.25">
      <c r="A7" s="47" t="s">
        <v>303</v>
      </c>
      <c r="B7" s="48" t="s">
        <v>304</v>
      </c>
      <c r="C7" s="49" t="s">
        <v>305</v>
      </c>
      <c r="D7" s="48" t="s">
        <v>306</v>
      </c>
    </row>
    <row r="8" spans="1:4" ht="24" customHeight="1" x14ac:dyDescent="0.25">
      <c r="A8" s="50" t="s">
        <v>307</v>
      </c>
      <c r="B8" s="51" t="s">
        <v>308</v>
      </c>
      <c r="C8" s="52" t="s">
        <v>309</v>
      </c>
      <c r="D8" s="51" t="s">
        <v>310</v>
      </c>
    </row>
    <row r="9" spans="1:4" ht="21.75" customHeight="1" x14ac:dyDescent="0.25">
      <c r="A9" s="126" t="s">
        <v>311</v>
      </c>
      <c r="B9" s="101"/>
      <c r="C9" s="101"/>
      <c r="D9" s="101"/>
    </row>
    <row r="10" spans="1:4" ht="19.5" customHeight="1" x14ac:dyDescent="0.25">
      <c r="A10" s="50" t="s">
        <v>312</v>
      </c>
      <c r="B10" s="51" t="s">
        <v>313</v>
      </c>
      <c r="C10" s="52" t="s">
        <v>314</v>
      </c>
      <c r="D10" s="51" t="s">
        <v>315</v>
      </c>
    </row>
    <row r="11" spans="1:4" ht="19.5" customHeight="1" x14ac:dyDescent="0.25">
      <c r="A11" s="47" t="s">
        <v>316</v>
      </c>
      <c r="B11" s="48" t="s">
        <v>317</v>
      </c>
      <c r="C11" s="49" t="s">
        <v>318</v>
      </c>
      <c r="D11" s="48" t="s">
        <v>319</v>
      </c>
    </row>
    <row r="12" spans="1:4" ht="19.5" customHeight="1" x14ac:dyDescent="0.25">
      <c r="A12" s="50" t="s">
        <v>320</v>
      </c>
      <c r="B12" s="51" t="s">
        <v>321</v>
      </c>
      <c r="C12" s="52" t="s">
        <v>322</v>
      </c>
      <c r="D12" s="51" t="s">
        <v>323</v>
      </c>
    </row>
    <row r="13" spans="1:4" ht="21.75" customHeight="1" x14ac:dyDescent="0.25">
      <c r="A13" s="126" t="s">
        <v>324</v>
      </c>
      <c r="B13" s="101"/>
      <c r="C13" s="101"/>
      <c r="D13" s="101"/>
    </row>
    <row r="14" spans="1:4" ht="25.5" customHeight="1" x14ac:dyDescent="0.25">
      <c r="A14" s="50" t="s">
        <v>325</v>
      </c>
      <c r="B14" s="51" t="s">
        <v>326</v>
      </c>
      <c r="C14" s="53">
        <f>'Tax Engine'!D7</f>
        <v>61682.240000000005</v>
      </c>
      <c r="D14" s="54" t="s">
        <v>327</v>
      </c>
    </row>
    <row r="15" spans="1:4" ht="25.5" customHeight="1" x14ac:dyDescent="0.25">
      <c r="A15" s="47" t="s">
        <v>328</v>
      </c>
      <c r="B15" s="48" t="s">
        <v>329</v>
      </c>
      <c r="C15" s="49" t="s">
        <v>330</v>
      </c>
      <c r="D15" s="48" t="s">
        <v>331</v>
      </c>
    </row>
    <row r="16" spans="1:4" ht="25.5" customHeight="1" x14ac:dyDescent="0.25">
      <c r="A16" s="50" t="s">
        <v>332</v>
      </c>
      <c r="B16" s="51" t="s">
        <v>333</v>
      </c>
      <c r="C16" s="52" t="s">
        <v>334</v>
      </c>
      <c r="D16" s="51" t="s">
        <v>335</v>
      </c>
    </row>
    <row r="17" spans="1:4" ht="25.5" customHeight="1" x14ac:dyDescent="0.25">
      <c r="A17" s="47" t="s">
        <v>336</v>
      </c>
      <c r="B17" s="48" t="s">
        <v>337</v>
      </c>
      <c r="C17" s="53">
        <f>'Tax Engine'!C9</f>
        <v>5676</v>
      </c>
      <c r="D17" s="55" t="s">
        <v>338</v>
      </c>
    </row>
    <row r="18" spans="1:4" ht="25.5" customHeight="1" x14ac:dyDescent="0.25">
      <c r="A18" s="50" t="s">
        <v>339</v>
      </c>
      <c r="B18" s="51" t="s">
        <v>340</v>
      </c>
      <c r="C18" s="52" t="s">
        <v>334</v>
      </c>
      <c r="D18" s="51" t="s">
        <v>341</v>
      </c>
    </row>
    <row r="19" spans="1:4" ht="21.75" customHeight="1" x14ac:dyDescent="0.25">
      <c r="A19" s="128" t="s">
        <v>342</v>
      </c>
      <c r="B19" s="101"/>
      <c r="C19" s="101"/>
      <c r="D19" s="101"/>
    </row>
    <row r="20" spans="1:4" ht="27.75" customHeight="1" x14ac:dyDescent="0.25">
      <c r="A20" s="50" t="s">
        <v>343</v>
      </c>
      <c r="B20" s="51" t="s">
        <v>344</v>
      </c>
      <c r="C20" s="52" t="s">
        <v>345</v>
      </c>
      <c r="D20" s="51" t="s">
        <v>346</v>
      </c>
    </row>
    <row r="21" spans="1:4" ht="27.75" customHeight="1" x14ac:dyDescent="0.25">
      <c r="A21" s="56" t="s">
        <v>347</v>
      </c>
      <c r="B21" s="57" t="s">
        <v>348</v>
      </c>
      <c r="C21" s="58" t="s">
        <v>330</v>
      </c>
      <c r="D21" s="57" t="s">
        <v>349</v>
      </c>
    </row>
    <row r="22" spans="1:4" ht="27.75" customHeight="1" x14ac:dyDescent="0.25">
      <c r="A22" s="56" t="s">
        <v>350</v>
      </c>
      <c r="B22" s="57" t="s">
        <v>351</v>
      </c>
      <c r="C22" s="58" t="s">
        <v>330</v>
      </c>
      <c r="D22" s="57" t="s">
        <v>352</v>
      </c>
    </row>
    <row r="23" spans="1:4" ht="27.75" customHeight="1" x14ac:dyDescent="0.25">
      <c r="A23" s="47" t="s">
        <v>353</v>
      </c>
      <c r="B23" s="48" t="s">
        <v>354</v>
      </c>
      <c r="C23" s="53">
        <f>MIN(SUMIF(Purchases!E7:E200,"Skills Course",Purchases!F7:F200),2000)</f>
        <v>0</v>
      </c>
      <c r="D23" s="55" t="s">
        <v>355</v>
      </c>
    </row>
    <row r="24" spans="1:4" ht="27.75" customHeight="1" x14ac:dyDescent="0.25">
      <c r="A24" s="56" t="s">
        <v>356</v>
      </c>
      <c r="B24" s="57" t="s">
        <v>357</v>
      </c>
      <c r="C24" s="58" t="s">
        <v>330</v>
      </c>
      <c r="D24" s="57" t="s">
        <v>358</v>
      </c>
    </row>
    <row r="25" spans="1:4" ht="27.75" customHeight="1" x14ac:dyDescent="0.25">
      <c r="A25" s="47" t="s">
        <v>359</v>
      </c>
      <c r="B25" s="48" t="s">
        <v>360</v>
      </c>
      <c r="C25" s="53">
        <f>MIN(SUMIF(Purchases!E7:E200,"Medical/Dental/Checkup",Purchases!F7:F200)*0.3,1000)</f>
        <v>0</v>
      </c>
      <c r="D25" s="55" t="s">
        <v>361</v>
      </c>
    </row>
    <row r="26" spans="1:4" ht="27.75" customHeight="1" x14ac:dyDescent="0.25">
      <c r="A26" s="50" t="s">
        <v>362</v>
      </c>
      <c r="B26" s="51" t="s">
        <v>363</v>
      </c>
      <c r="C26" s="53">
        <f>MIN(SUMIF(Purchases!E7:E200,"Medical/Dental/Checkup",Purchases!F7:F200)*0.7,1000)</f>
        <v>0</v>
      </c>
      <c r="D26" s="54" t="s">
        <v>364</v>
      </c>
    </row>
    <row r="27" spans="1:4" ht="27.75" customHeight="1" x14ac:dyDescent="0.25">
      <c r="A27" s="47" t="s">
        <v>365</v>
      </c>
      <c r="B27" s="48" t="s">
        <v>366</v>
      </c>
      <c r="C27" s="53">
        <f>MIN(SUMIF(Purchases!E7:E200,"Medical/Dental/Checkup",Purchases!F7:F200),1000)</f>
        <v>0</v>
      </c>
      <c r="D27" s="55" t="s">
        <v>367</v>
      </c>
    </row>
    <row r="28" spans="1:4" ht="27.75" customHeight="1" x14ac:dyDescent="0.25">
      <c r="A28" s="50" t="s">
        <v>368</v>
      </c>
      <c r="B28" s="51" t="s">
        <v>369</v>
      </c>
      <c r="C28" s="53">
        <f>MIN(SUMIF(Purchases!E7:E200,"Lifestyle-WiFi",Purchases!F7:F200)+SUMIF(Purchases!E7:E200,"Lifestyle-Phone/Book/Gadget",Purchases!F7:F200)+SUMIF(Purchases!E7:E200,"Lifestyle-Sports/Gym",Purchases!F7:F200),2500)</f>
        <v>566.1</v>
      </c>
      <c r="D28" s="54" t="s">
        <v>370</v>
      </c>
    </row>
    <row r="29" spans="1:4" ht="27.75" customHeight="1" x14ac:dyDescent="0.25">
      <c r="A29" s="47" t="s">
        <v>371</v>
      </c>
      <c r="B29" s="48" t="s">
        <v>372</v>
      </c>
      <c r="C29" s="53">
        <f>MIN(SUMIF(Purchases!E7:E200,"Lifestyle-Sports/Gym",Purchases!F7:F200),1000)</f>
        <v>0</v>
      </c>
      <c r="D29" s="55" t="s">
        <v>373</v>
      </c>
    </row>
    <row r="30" spans="1:4" ht="27.75" customHeight="1" x14ac:dyDescent="0.25">
      <c r="A30" s="50" t="s">
        <v>374</v>
      </c>
      <c r="B30" s="51" t="s">
        <v>375</v>
      </c>
      <c r="C30" s="53">
        <f>MIN(SUMIF(Purchases!E7:E200,"SSPN",Purchases!F7:F200),8000)</f>
        <v>0</v>
      </c>
      <c r="D30" s="54" t="s">
        <v>376</v>
      </c>
    </row>
    <row r="31" spans="1:4" ht="27.75" customHeight="1" x14ac:dyDescent="0.25">
      <c r="A31" s="47" t="s">
        <v>377</v>
      </c>
      <c r="B31" s="48" t="s">
        <v>378</v>
      </c>
      <c r="C31" s="53">
        <f>MIN(SUMIF(Purchases!E7:E200,"Life Insurance",Purchases!F7:F200),3000)</f>
        <v>180</v>
      </c>
      <c r="D31" s="55" t="s">
        <v>379</v>
      </c>
    </row>
    <row r="32" spans="1:4" ht="27.75" customHeight="1" x14ac:dyDescent="0.25">
      <c r="A32" s="50" t="s">
        <v>380</v>
      </c>
      <c r="B32" s="51" t="s">
        <v>381</v>
      </c>
      <c r="C32" s="53">
        <f>MIN(SUMIF(Purchases!E7:E200,"PRS",Purchases!F7:F200),3000)</f>
        <v>0</v>
      </c>
      <c r="D32" s="54" t="s">
        <v>382</v>
      </c>
    </row>
    <row r="33" spans="1:4" ht="27.75" customHeight="1" x14ac:dyDescent="0.25">
      <c r="A33" s="47" t="s">
        <v>383</v>
      </c>
      <c r="B33" s="48" t="s">
        <v>384</v>
      </c>
      <c r="C33" s="53">
        <f>MIN(SUMIF(Purchases!E7:E200,"Medical Insurance",Purchases!F7:F200),4000)</f>
        <v>0</v>
      </c>
      <c r="D33" s="55" t="s">
        <v>385</v>
      </c>
    </row>
    <row r="34" spans="1:4" ht="27.75" customHeight="1" x14ac:dyDescent="0.25">
      <c r="A34" s="50" t="s">
        <v>386</v>
      </c>
      <c r="B34" s="51" t="s">
        <v>387</v>
      </c>
      <c r="C34" s="53">
        <f>MIN(SUM('Salary Log'!E5:E16)+SUM('Salary Log'!F5:F16),350)</f>
        <v>327.45</v>
      </c>
      <c r="D34" s="54" t="s">
        <v>388</v>
      </c>
    </row>
    <row r="35" spans="1:4" ht="27.75" customHeight="1" x14ac:dyDescent="0.25">
      <c r="A35" s="56" t="s">
        <v>389</v>
      </c>
      <c r="B35" s="57" t="s">
        <v>390</v>
      </c>
      <c r="C35" s="58" t="s">
        <v>330</v>
      </c>
      <c r="D35" s="57" t="s">
        <v>391</v>
      </c>
    </row>
    <row r="36" spans="1:4" ht="21.75" customHeight="1" x14ac:dyDescent="0.25">
      <c r="A36" s="126" t="s">
        <v>392</v>
      </c>
      <c r="B36" s="101"/>
      <c r="C36" s="101"/>
      <c r="D36" s="101"/>
    </row>
    <row r="37" spans="1:4" ht="21.75" customHeight="1" x14ac:dyDescent="0.25">
      <c r="A37" s="47" t="s">
        <v>393</v>
      </c>
      <c r="B37" s="48" t="s">
        <v>394</v>
      </c>
      <c r="C37" s="49" t="s">
        <v>330</v>
      </c>
      <c r="D37" s="48" t="s">
        <v>395</v>
      </c>
    </row>
    <row r="38" spans="1:4" ht="21.75" customHeight="1" x14ac:dyDescent="0.25">
      <c r="A38" s="50" t="s">
        <v>396</v>
      </c>
      <c r="B38" s="51" t="s">
        <v>397</v>
      </c>
      <c r="C38" s="52" t="s">
        <v>330</v>
      </c>
      <c r="D38" s="51" t="s">
        <v>398</v>
      </c>
    </row>
    <row r="39" spans="1:4" ht="21.75" customHeight="1" x14ac:dyDescent="0.25">
      <c r="A39" s="47" t="s">
        <v>399</v>
      </c>
      <c r="B39" s="48" t="s">
        <v>400</v>
      </c>
      <c r="C39" s="49" t="s">
        <v>330</v>
      </c>
      <c r="D39" s="48" t="s">
        <v>401</v>
      </c>
    </row>
    <row r="40" spans="1:4" ht="21.75" customHeight="1" x14ac:dyDescent="0.25">
      <c r="A40" s="125" t="s">
        <v>402</v>
      </c>
      <c r="B40" s="101"/>
      <c r="C40" s="101"/>
      <c r="D40" s="101"/>
    </row>
    <row r="41" spans="1:4" ht="27.75" customHeight="1" x14ac:dyDescent="0.25">
      <c r="A41" s="47" t="s">
        <v>403</v>
      </c>
      <c r="B41" s="48" t="s">
        <v>404</v>
      </c>
      <c r="C41" s="53">
        <f>'Tax Engine'!D25</f>
        <v>45699.44000000001</v>
      </c>
      <c r="D41" s="55" t="s">
        <v>405</v>
      </c>
    </row>
    <row r="42" spans="1:4" ht="27.75" customHeight="1" x14ac:dyDescent="0.25">
      <c r="A42" s="50" t="s">
        <v>406</v>
      </c>
      <c r="B42" s="51" t="s">
        <v>407</v>
      </c>
      <c r="C42" s="53">
        <f>'Tax Engine'!D26</f>
        <v>1241.9664000000007</v>
      </c>
      <c r="D42" s="54" t="s">
        <v>408</v>
      </c>
    </row>
    <row r="43" spans="1:4" ht="27.75" customHeight="1" x14ac:dyDescent="0.25">
      <c r="A43" s="47" t="s">
        <v>409</v>
      </c>
      <c r="B43" s="48" t="s">
        <v>410</v>
      </c>
      <c r="C43" s="53">
        <f>'PCB Schedule'!F16</f>
        <v>637.03200000000061</v>
      </c>
      <c r="D43" s="55" t="s">
        <v>411</v>
      </c>
    </row>
    <row r="44" spans="1:4" ht="27.75" customHeight="1" x14ac:dyDescent="0.25">
      <c r="A44" s="50" t="s">
        <v>412</v>
      </c>
      <c r="B44" s="51" t="s">
        <v>413</v>
      </c>
      <c r="C44" s="52" t="s">
        <v>330</v>
      </c>
      <c r="D44" s="51" t="s">
        <v>414</v>
      </c>
    </row>
    <row r="45" spans="1:4" ht="27.75" customHeight="1" x14ac:dyDescent="0.25">
      <c r="A45" s="59" t="s">
        <v>415</v>
      </c>
      <c r="B45" s="60" t="s">
        <v>416</v>
      </c>
      <c r="C45" s="53">
        <f>'Tax Engine'!D34</f>
        <v>614.51640000000066</v>
      </c>
      <c r="D45" s="61" t="s">
        <v>417</v>
      </c>
    </row>
    <row r="46" spans="1:4" ht="21.75" customHeight="1" x14ac:dyDescent="0.25">
      <c r="A46" s="129" t="s">
        <v>418</v>
      </c>
      <c r="B46" s="101"/>
      <c r="C46" s="101"/>
      <c r="D46" s="101"/>
    </row>
    <row r="47" spans="1:4" ht="24" customHeight="1" x14ac:dyDescent="0.25">
      <c r="A47" s="47" t="s">
        <v>419</v>
      </c>
      <c r="B47" s="48" t="s">
        <v>420</v>
      </c>
      <c r="C47" s="49" t="s">
        <v>297</v>
      </c>
      <c r="D47" s="48" t="s">
        <v>421</v>
      </c>
    </row>
    <row r="48" spans="1:4" ht="24" customHeight="1" x14ac:dyDescent="0.25">
      <c r="A48" s="50" t="s">
        <v>422</v>
      </c>
      <c r="B48" s="51" t="s">
        <v>423</v>
      </c>
      <c r="C48" s="52" t="s">
        <v>424</v>
      </c>
      <c r="D48" s="51" t="s">
        <v>425</v>
      </c>
    </row>
    <row r="49" spans="1:4" ht="24" customHeight="1" x14ac:dyDescent="0.25">
      <c r="A49" s="62" t="s">
        <v>426</v>
      </c>
      <c r="B49" s="63" t="s">
        <v>427</v>
      </c>
      <c r="C49" s="64" t="s">
        <v>428</v>
      </c>
      <c r="D49" s="65" t="s">
        <v>429</v>
      </c>
    </row>
    <row r="50" spans="1:4" ht="24" customHeight="1" x14ac:dyDescent="0.25">
      <c r="A50" s="50" t="s">
        <v>430</v>
      </c>
      <c r="B50" s="51" t="s">
        <v>431</v>
      </c>
      <c r="C50" s="52" t="s">
        <v>432</v>
      </c>
      <c r="D50" s="51" t="s">
        <v>433</v>
      </c>
    </row>
    <row r="51" spans="1:4" ht="21.75" customHeight="1" x14ac:dyDescent="0.25">
      <c r="A51" s="127" t="s">
        <v>434</v>
      </c>
      <c r="B51" s="101"/>
      <c r="C51" s="101"/>
      <c r="D51" s="101"/>
    </row>
    <row r="52" spans="1:4" ht="21.75" customHeight="1" x14ac:dyDescent="0.25">
      <c r="A52" s="66" t="s">
        <v>435</v>
      </c>
      <c r="B52" s="51" t="s">
        <v>436</v>
      </c>
      <c r="C52" s="52" t="s">
        <v>437</v>
      </c>
      <c r="D52" s="65" t="s">
        <v>438</v>
      </c>
    </row>
    <row r="53" spans="1:4" ht="21.75" customHeight="1" x14ac:dyDescent="0.25">
      <c r="A53" s="67" t="s">
        <v>439</v>
      </c>
      <c r="B53" s="48" t="s">
        <v>440</v>
      </c>
      <c r="C53" s="49" t="s">
        <v>441</v>
      </c>
      <c r="D53" s="48" t="s">
        <v>442</v>
      </c>
    </row>
    <row r="54" spans="1:4" ht="21.75" customHeight="1" x14ac:dyDescent="0.25">
      <c r="A54" s="66" t="s">
        <v>443</v>
      </c>
      <c r="B54" s="51" t="s">
        <v>444</v>
      </c>
      <c r="C54" s="52" t="s">
        <v>445</v>
      </c>
      <c r="D54" s="51" t="s">
        <v>446</v>
      </c>
    </row>
    <row r="55" spans="1:4" ht="21.75" customHeight="1" x14ac:dyDescent="0.25">
      <c r="A55" s="67" t="s">
        <v>447</v>
      </c>
      <c r="B55" s="48" t="s">
        <v>448</v>
      </c>
      <c r="C55" s="49" t="s">
        <v>449</v>
      </c>
      <c r="D55" s="48" t="s">
        <v>450</v>
      </c>
    </row>
    <row r="56" spans="1:4" ht="21.75" customHeight="1" x14ac:dyDescent="0.25">
      <c r="A56" s="66" t="s">
        <v>451</v>
      </c>
      <c r="B56" s="51" t="s">
        <v>452</v>
      </c>
      <c r="C56" s="52" t="s">
        <v>453</v>
      </c>
      <c r="D56" s="51" t="s">
        <v>454</v>
      </c>
    </row>
    <row r="57" spans="1:4" ht="21.75" customHeight="1" x14ac:dyDescent="0.25">
      <c r="A57" s="67" t="s">
        <v>455</v>
      </c>
      <c r="B57" s="48" t="s">
        <v>456</v>
      </c>
      <c r="C57" s="49" t="s">
        <v>457</v>
      </c>
      <c r="D57" s="48" t="s">
        <v>458</v>
      </c>
    </row>
    <row r="58" spans="1:4" ht="21.75" customHeight="1" x14ac:dyDescent="0.25">
      <c r="A58" s="66" t="s">
        <v>459</v>
      </c>
      <c r="B58" s="51" t="s">
        <v>460</v>
      </c>
      <c r="C58" s="52" t="s">
        <v>461</v>
      </c>
      <c r="D58" s="65" t="s">
        <v>462</v>
      </c>
    </row>
    <row r="59" spans="1:4" ht="21.75" customHeight="1" x14ac:dyDescent="0.25">
      <c r="A59" s="67" t="s">
        <v>463</v>
      </c>
      <c r="B59" s="48" t="s">
        <v>464</v>
      </c>
      <c r="C59" s="49" t="s">
        <v>465</v>
      </c>
      <c r="D59" s="48" t="s">
        <v>466</v>
      </c>
    </row>
  </sheetData>
  <mergeCells count="10">
    <mergeCell ref="A51:D51"/>
    <mergeCell ref="A2:D2"/>
    <mergeCell ref="A46:D46"/>
    <mergeCell ref="A13:D13"/>
    <mergeCell ref="A1:D1"/>
    <mergeCell ref="A40:D40"/>
    <mergeCell ref="A9:D9"/>
    <mergeCell ref="A36:D36"/>
    <mergeCell ref="A4:D4"/>
    <mergeCell ref="A19:D19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4"/>
  <sheetViews>
    <sheetView showGridLines="0" tabSelected="1" zoomScaleNormal="100" workbookViewId="0">
      <selection sqref="A1:D1"/>
    </sheetView>
  </sheetViews>
  <sheetFormatPr defaultColWidth="8.7109375" defaultRowHeight="15" x14ac:dyDescent="0.25"/>
  <cols>
    <col min="1" max="1" width="38" customWidth="1"/>
    <col min="2" max="2" width="18" customWidth="1"/>
    <col min="3" max="3" width="28" customWidth="1"/>
    <col min="4" max="4" width="25" customWidth="1"/>
  </cols>
  <sheetData>
    <row r="1" spans="1:4" ht="30" customHeight="1" x14ac:dyDescent="0.25">
      <c r="A1" s="102" t="s">
        <v>467</v>
      </c>
      <c r="B1" s="101"/>
      <c r="C1" s="101"/>
      <c r="D1" s="101"/>
    </row>
    <row r="2" spans="1:4" ht="18" customHeight="1" x14ac:dyDescent="0.25">
      <c r="A2" s="100" t="s">
        <v>468</v>
      </c>
      <c r="B2" s="101"/>
      <c r="C2" s="101"/>
      <c r="D2" s="101"/>
    </row>
    <row r="3" spans="1:4" ht="45" customHeight="1" x14ac:dyDescent="0.25">
      <c r="A3" s="130" t="s">
        <v>469</v>
      </c>
      <c r="B3" s="104"/>
      <c r="C3" s="104"/>
      <c r="D3" s="104"/>
    </row>
    <row r="4" spans="1:4" ht="24.75" customHeight="1" x14ac:dyDescent="0.25">
      <c r="A4" s="5" t="s">
        <v>470</v>
      </c>
      <c r="B4" s="5" t="s">
        <v>292</v>
      </c>
      <c r="C4" s="5" t="s">
        <v>471</v>
      </c>
      <c r="D4" s="5" t="s">
        <v>187</v>
      </c>
    </row>
    <row r="5" spans="1:4" ht="19.5" customHeight="1" x14ac:dyDescent="0.25">
      <c r="A5" s="127" t="s">
        <v>324</v>
      </c>
      <c r="B5" s="101"/>
      <c r="C5" s="101"/>
      <c r="D5" s="101"/>
    </row>
    <row r="6" spans="1:4" ht="25.5" customHeight="1" x14ac:dyDescent="0.25">
      <c r="A6" s="68" t="s">
        <v>472</v>
      </c>
      <c r="B6" s="53">
        <f>'Tax Engine'!D7</f>
        <v>61682.240000000005</v>
      </c>
      <c r="C6" s="51" t="s">
        <v>473</v>
      </c>
      <c r="D6" s="69" t="s">
        <v>437</v>
      </c>
    </row>
    <row r="7" spans="1:4" ht="25.5" customHeight="1" x14ac:dyDescent="0.25">
      <c r="A7" s="70" t="s">
        <v>474</v>
      </c>
      <c r="B7" s="53">
        <f>'Tax Engine'!C9</f>
        <v>5676</v>
      </c>
      <c r="C7" s="48" t="s">
        <v>475</v>
      </c>
      <c r="D7" s="71" t="s">
        <v>437</v>
      </c>
    </row>
    <row r="8" spans="1:4" ht="25.5" customHeight="1" x14ac:dyDescent="0.25">
      <c r="A8" s="68" t="s">
        <v>476</v>
      </c>
      <c r="B8" s="53">
        <f>MAX(0,'Tax Engine'!D13)</f>
        <v>55678.790000000008</v>
      </c>
      <c r="C8" s="51" t="s">
        <v>477</v>
      </c>
      <c r="D8" s="69" t="s">
        <v>478</v>
      </c>
    </row>
    <row r="9" spans="1:4" ht="19.5" customHeight="1" x14ac:dyDescent="0.25">
      <c r="A9" s="126" t="s">
        <v>479</v>
      </c>
      <c r="B9" s="101"/>
      <c r="C9" s="101"/>
      <c r="D9" s="101"/>
    </row>
    <row r="10" spans="1:4" ht="25.5" customHeight="1" x14ac:dyDescent="0.25">
      <c r="A10" s="68" t="s">
        <v>343</v>
      </c>
      <c r="B10" s="72">
        <v>9000</v>
      </c>
      <c r="C10" s="51" t="s">
        <v>480</v>
      </c>
      <c r="D10" s="69" t="s">
        <v>478</v>
      </c>
    </row>
    <row r="11" spans="1:4" ht="25.5" customHeight="1" x14ac:dyDescent="0.25">
      <c r="A11" s="70" t="s">
        <v>481</v>
      </c>
      <c r="B11" s="53">
        <f>MIN(SUMIF(Purchases!E7:E200,"Skills Course",Purchases!F7:F200),7000)</f>
        <v>0</v>
      </c>
      <c r="C11" s="48" t="s">
        <v>482</v>
      </c>
      <c r="D11" s="73" t="s">
        <v>483</v>
      </c>
    </row>
    <row r="12" spans="1:4" ht="25.5" customHeight="1" x14ac:dyDescent="0.25">
      <c r="A12" s="68" t="s">
        <v>484</v>
      </c>
      <c r="B12" s="53">
        <f>MIN(SUMIF(Purchases!E7:E200,"Lifestyle-WiFi",Purchases!F7:F200)+SUMIF(Purchases!E7:E200,"Lifestyle-Phone/Book/Gadget",Purchases!F7:F200)+SUMIF(Purchases!E7:E200,"Lifestyle-Sports/Gym",Purchases!F7:F200),2500)</f>
        <v>566.1</v>
      </c>
      <c r="C12" s="51" t="s">
        <v>485</v>
      </c>
      <c r="D12" s="74" t="s">
        <v>486</v>
      </c>
    </row>
    <row r="13" spans="1:4" ht="25.5" customHeight="1" x14ac:dyDescent="0.25">
      <c r="A13" s="70" t="s">
        <v>487</v>
      </c>
      <c r="B13" s="53">
        <f>MIN(SUMIF(Purchases!E7:E200,"Lifestyle-Sports/Gym",Purchases!F7:F200),1000)</f>
        <v>0</v>
      </c>
      <c r="C13" s="48" t="s">
        <v>488</v>
      </c>
      <c r="D13" s="73" t="s">
        <v>483</v>
      </c>
    </row>
    <row r="14" spans="1:4" ht="25.5" customHeight="1" x14ac:dyDescent="0.25">
      <c r="A14" s="68" t="s">
        <v>374</v>
      </c>
      <c r="B14" s="53">
        <f>MIN(SUMIF(Purchases!E7:E200,"SSPN",Purchases!F7:F200),8000)</f>
        <v>0</v>
      </c>
      <c r="C14" s="51" t="s">
        <v>489</v>
      </c>
      <c r="D14" s="73" t="s">
        <v>483</v>
      </c>
    </row>
    <row r="15" spans="1:4" ht="25.5" customHeight="1" x14ac:dyDescent="0.25">
      <c r="A15" s="70" t="s">
        <v>490</v>
      </c>
      <c r="B15" s="53">
        <f>MIN(SUMIF(Purchases!E7:E200,"Life Insurance",Purchases!F7:F200),3000)</f>
        <v>180</v>
      </c>
      <c r="C15" s="48" t="s">
        <v>491</v>
      </c>
      <c r="D15" s="74" t="s">
        <v>486</v>
      </c>
    </row>
    <row r="16" spans="1:4" ht="25.5" customHeight="1" x14ac:dyDescent="0.25">
      <c r="A16" s="68" t="s">
        <v>492</v>
      </c>
      <c r="B16" s="53">
        <f>MIN(SUMIF(Purchases!E7:E200,"PRS",Purchases!F7:F200),3000)</f>
        <v>0</v>
      </c>
      <c r="C16" s="51" t="s">
        <v>493</v>
      </c>
      <c r="D16" s="73" t="s">
        <v>483</v>
      </c>
    </row>
    <row r="17" spans="1:4" ht="25.5" customHeight="1" x14ac:dyDescent="0.25">
      <c r="A17" s="70" t="s">
        <v>383</v>
      </c>
      <c r="B17" s="53">
        <f>MIN(SUMIF(Purchases!E7:E200,"Medical Insurance",Purchases!F7:F200),4000)</f>
        <v>0</v>
      </c>
      <c r="C17" s="48" t="s">
        <v>494</v>
      </c>
      <c r="D17" s="73" t="s">
        <v>483</v>
      </c>
    </row>
    <row r="18" spans="1:4" ht="25.5" customHeight="1" x14ac:dyDescent="0.25">
      <c r="A18" s="68" t="s">
        <v>386</v>
      </c>
      <c r="B18" s="53">
        <f>MIN(SUM('Salary Log'!E5:E16)+SUM('Salary Log'!F5:F16),350)</f>
        <v>327.45</v>
      </c>
      <c r="C18" s="51" t="s">
        <v>495</v>
      </c>
      <c r="D18" s="74" t="s">
        <v>486</v>
      </c>
    </row>
    <row r="19" spans="1:4" ht="25.5" customHeight="1" x14ac:dyDescent="0.25">
      <c r="A19" s="70" t="s">
        <v>496</v>
      </c>
      <c r="B19" s="53">
        <f>MIN(SUMIF(Purchases!E7:E200,"Medical/Dental/Checkup",Purchases!F7:F200),1000)</f>
        <v>0</v>
      </c>
      <c r="C19" s="48" t="s">
        <v>497</v>
      </c>
      <c r="D19" s="73" t="s">
        <v>483</v>
      </c>
    </row>
    <row r="20" spans="1:4" ht="25.5" customHeight="1" x14ac:dyDescent="0.25">
      <c r="A20" s="75" t="s">
        <v>498</v>
      </c>
      <c r="B20" s="76">
        <f>'Tax Engine'!D23</f>
        <v>9979.35</v>
      </c>
      <c r="C20" s="77" t="s">
        <v>499</v>
      </c>
      <c r="D20" s="78" t="s">
        <v>500</v>
      </c>
    </row>
    <row r="21" spans="1:4" ht="19.5" customHeight="1" x14ac:dyDescent="0.25">
      <c r="A21" s="126" t="s">
        <v>501</v>
      </c>
      <c r="B21" s="101"/>
      <c r="C21" s="101"/>
      <c r="D21" s="101"/>
    </row>
    <row r="22" spans="1:4" ht="25.5" customHeight="1" x14ac:dyDescent="0.25">
      <c r="A22" s="68" t="s">
        <v>393</v>
      </c>
      <c r="B22" s="72" t="s">
        <v>330</v>
      </c>
      <c r="C22" s="51" t="s">
        <v>502</v>
      </c>
      <c r="D22" s="73" t="s">
        <v>483</v>
      </c>
    </row>
    <row r="23" spans="1:4" ht="25.5" customHeight="1" x14ac:dyDescent="0.25">
      <c r="A23" s="70" t="s">
        <v>503</v>
      </c>
      <c r="B23" s="79" t="s">
        <v>330</v>
      </c>
      <c r="C23" s="48" t="s">
        <v>504</v>
      </c>
      <c r="D23" s="73" t="s">
        <v>483</v>
      </c>
    </row>
    <row r="24" spans="1:4" ht="19.5" customHeight="1" x14ac:dyDescent="0.25">
      <c r="A24" s="125" t="s">
        <v>505</v>
      </c>
      <c r="B24" s="101"/>
      <c r="C24" s="101"/>
      <c r="D24" s="101"/>
    </row>
    <row r="25" spans="1:4" ht="25.5" customHeight="1" x14ac:dyDescent="0.25">
      <c r="A25" s="70" t="s">
        <v>506</v>
      </c>
      <c r="B25" s="53">
        <f>'Tax Engine'!D25</f>
        <v>45699.44000000001</v>
      </c>
      <c r="C25" s="48" t="s">
        <v>507</v>
      </c>
      <c r="D25" s="71" t="s">
        <v>478</v>
      </c>
    </row>
    <row r="26" spans="1:4" ht="25.5" customHeight="1" x14ac:dyDescent="0.25">
      <c r="A26" s="68" t="s">
        <v>406</v>
      </c>
      <c r="B26" s="53">
        <f>'Tax Engine'!D26</f>
        <v>1241.9664000000007</v>
      </c>
      <c r="C26" s="51" t="s">
        <v>508</v>
      </c>
      <c r="D26" s="69" t="s">
        <v>478</v>
      </c>
    </row>
    <row r="27" spans="1:4" ht="25.5" customHeight="1" x14ac:dyDescent="0.25">
      <c r="A27" s="70" t="s">
        <v>509</v>
      </c>
      <c r="B27" s="53">
        <f>'PCB Schedule'!F16</f>
        <v>637.03200000000061</v>
      </c>
      <c r="C27" s="48" t="s">
        <v>510</v>
      </c>
      <c r="D27" s="71" t="s">
        <v>437</v>
      </c>
    </row>
    <row r="28" spans="1:4" ht="25.5" customHeight="1" x14ac:dyDescent="0.25">
      <c r="A28" s="80" t="s">
        <v>511</v>
      </c>
      <c r="B28" s="81">
        <f>'Tax Engine'!D34</f>
        <v>614.51640000000066</v>
      </c>
      <c r="C28" s="60" t="s">
        <v>512</v>
      </c>
      <c r="D28" s="82" t="s">
        <v>513</v>
      </c>
    </row>
    <row r="30" spans="1:4" ht="19.5" customHeight="1" x14ac:dyDescent="0.25">
      <c r="A30" s="131" t="s">
        <v>514</v>
      </c>
      <c r="B30" s="101"/>
      <c r="C30" s="101"/>
      <c r="D30" s="101"/>
    </row>
    <row r="31" spans="1:4" ht="25.5" customHeight="1" x14ac:dyDescent="0.25">
      <c r="A31" s="70" t="s">
        <v>515</v>
      </c>
      <c r="B31" s="79" t="s">
        <v>516</v>
      </c>
      <c r="C31" s="48" t="s">
        <v>517</v>
      </c>
      <c r="D31" s="71" t="s">
        <v>282</v>
      </c>
    </row>
    <row r="32" spans="1:4" ht="25.5" customHeight="1" x14ac:dyDescent="0.25">
      <c r="A32" s="68" t="s">
        <v>518</v>
      </c>
      <c r="B32" s="53">
        <f>'Tax Engine'!C34</f>
        <v>9.582000000000221</v>
      </c>
      <c r="C32" s="51" t="s">
        <v>519</v>
      </c>
      <c r="D32" s="69" t="s">
        <v>520</v>
      </c>
    </row>
    <row r="33" spans="1:4" ht="25.5" customHeight="1" x14ac:dyDescent="0.25">
      <c r="A33" s="70" t="s">
        <v>521</v>
      </c>
      <c r="B33" s="53">
        <f>'Tax Engine'!D34</f>
        <v>614.51640000000066</v>
      </c>
      <c r="C33" s="48" t="s">
        <v>522</v>
      </c>
      <c r="D33" s="71" t="s">
        <v>520</v>
      </c>
    </row>
    <row r="34" spans="1:4" ht="25.5" customHeight="1" x14ac:dyDescent="0.25">
      <c r="A34" s="83" t="s">
        <v>523</v>
      </c>
      <c r="B34" s="53">
        <f>IF(ISNUMBER('Tax Engine'!D34),MAX(0,'Tax Engine'!D34-'Tax Engine'!C34),"Update Tax Engine")</f>
        <v>604.93440000000044</v>
      </c>
      <c r="C34" s="63" t="s">
        <v>524</v>
      </c>
      <c r="D34" s="84" t="s">
        <v>525</v>
      </c>
    </row>
  </sheetData>
  <mergeCells count="8">
    <mergeCell ref="A1:D1"/>
    <mergeCell ref="A5:D5"/>
    <mergeCell ref="A9:D9"/>
    <mergeCell ref="A3:D3"/>
    <mergeCell ref="A30:D30"/>
    <mergeCell ref="A21:D21"/>
    <mergeCell ref="A24:D24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9"/>
  <sheetViews>
    <sheetView showGridLines="0" zoomScaleNormal="100" workbookViewId="0">
      <selection sqref="A1:E1"/>
    </sheetView>
  </sheetViews>
  <sheetFormatPr defaultColWidth="8.7109375" defaultRowHeight="15" x14ac:dyDescent="0.25"/>
  <cols>
    <col min="1" max="1" width="38" customWidth="1"/>
    <col min="2" max="3" width="20" customWidth="1"/>
    <col min="4" max="4" width="22" customWidth="1"/>
    <col min="5" max="5" width="28" customWidth="1"/>
  </cols>
  <sheetData>
    <row r="1" spans="1:5" ht="30" customHeight="1" x14ac:dyDescent="0.25">
      <c r="A1" s="102" t="s">
        <v>526</v>
      </c>
      <c r="B1" s="101"/>
      <c r="C1" s="101"/>
      <c r="D1" s="101"/>
      <c r="E1" s="101"/>
    </row>
    <row r="2" spans="1:5" ht="18" customHeight="1" x14ac:dyDescent="0.25">
      <c r="A2" s="100" t="s">
        <v>527</v>
      </c>
      <c r="B2" s="101"/>
      <c r="C2" s="101"/>
      <c r="D2" s="101"/>
      <c r="E2" s="101"/>
    </row>
    <row r="3" spans="1:5" ht="39.75" customHeight="1" x14ac:dyDescent="0.25">
      <c r="A3" s="124" t="s">
        <v>528</v>
      </c>
      <c r="B3" s="104"/>
      <c r="C3" s="104"/>
      <c r="D3" s="104"/>
      <c r="E3" s="104"/>
    </row>
    <row r="4" spans="1:5" ht="24.75" customHeight="1" x14ac:dyDescent="0.25">
      <c r="A4" s="5" t="s">
        <v>529</v>
      </c>
      <c r="B4" s="5" t="s">
        <v>530</v>
      </c>
      <c r="C4" s="5" t="s">
        <v>531</v>
      </c>
      <c r="D4" s="5" t="s">
        <v>532</v>
      </c>
      <c r="E4" s="5" t="s">
        <v>75</v>
      </c>
    </row>
    <row r="5" spans="1:5" ht="19.5" customHeight="1" x14ac:dyDescent="0.25">
      <c r="A5" s="127" t="s">
        <v>324</v>
      </c>
      <c r="B5" s="101"/>
      <c r="C5" s="101"/>
      <c r="D5" s="101"/>
      <c r="E5" s="101"/>
    </row>
    <row r="6" spans="1:5" ht="24" customHeight="1" x14ac:dyDescent="0.25">
      <c r="A6" s="50" t="s">
        <v>533</v>
      </c>
      <c r="B6" s="85">
        <v>36900</v>
      </c>
      <c r="C6" s="72">
        <f>'Tax Engine'!C5</f>
        <v>51600</v>
      </c>
      <c r="D6" s="72">
        <f>'Tax Engine'!D7</f>
        <v>61682.240000000005</v>
      </c>
      <c r="E6" s="51" t="s">
        <v>534</v>
      </c>
    </row>
    <row r="7" spans="1:5" ht="24" customHeight="1" x14ac:dyDescent="0.25">
      <c r="A7" s="62" t="s">
        <v>535</v>
      </c>
      <c r="B7" s="86">
        <v>2362</v>
      </c>
      <c r="C7" s="87">
        <v>0</v>
      </c>
      <c r="D7" s="87">
        <v>0</v>
      </c>
      <c r="E7" s="65" t="s">
        <v>536</v>
      </c>
    </row>
    <row r="8" spans="1:5" ht="24" customHeight="1" x14ac:dyDescent="0.25">
      <c r="A8" s="50" t="s">
        <v>537</v>
      </c>
      <c r="B8" s="85">
        <v>39262</v>
      </c>
      <c r="C8" s="72">
        <f>'Tax Engine'!C7</f>
        <v>51600</v>
      </c>
      <c r="D8" s="72">
        <f>'Tax Engine'!D7</f>
        <v>61682.240000000005</v>
      </c>
      <c r="E8" s="51" t="s">
        <v>538</v>
      </c>
    </row>
    <row r="9" spans="1:5" ht="24" customHeight="1" x14ac:dyDescent="0.25">
      <c r="A9" s="47" t="s">
        <v>539</v>
      </c>
      <c r="B9" s="88">
        <v>0</v>
      </c>
      <c r="C9" s="79">
        <f>'Tax Engine'!C9</f>
        <v>5676</v>
      </c>
      <c r="D9" s="79">
        <f>'Tax Engine'!C9</f>
        <v>5676</v>
      </c>
      <c r="E9" s="48" t="s">
        <v>540</v>
      </c>
    </row>
    <row r="10" spans="1:5" ht="24" customHeight="1" x14ac:dyDescent="0.25">
      <c r="A10" s="50" t="s">
        <v>541</v>
      </c>
      <c r="B10" s="85">
        <v>36900</v>
      </c>
      <c r="C10" s="72">
        <f>'Tax Engine'!C13</f>
        <v>45596.55</v>
      </c>
      <c r="D10" s="72">
        <f>'Tax Engine'!D13</f>
        <v>55678.790000000008</v>
      </c>
      <c r="E10" s="51" t="s">
        <v>542</v>
      </c>
    </row>
    <row r="11" spans="1:5" ht="19.5" customHeight="1" x14ac:dyDescent="0.25">
      <c r="A11" s="126" t="s">
        <v>543</v>
      </c>
      <c r="B11" s="101"/>
      <c r="C11" s="101"/>
      <c r="D11" s="101"/>
      <c r="E11" s="101"/>
    </row>
    <row r="12" spans="1:5" ht="24" customHeight="1" x14ac:dyDescent="0.25">
      <c r="A12" s="50" t="s">
        <v>544</v>
      </c>
      <c r="B12" s="85">
        <v>9000</v>
      </c>
      <c r="C12" s="72">
        <v>9000</v>
      </c>
      <c r="D12" s="72">
        <v>9000</v>
      </c>
      <c r="E12" s="51" t="s">
        <v>545</v>
      </c>
    </row>
    <row r="13" spans="1:5" ht="24" customHeight="1" x14ac:dyDescent="0.25">
      <c r="A13" s="47" t="s">
        <v>546</v>
      </c>
      <c r="B13" s="88">
        <v>0</v>
      </c>
      <c r="C13" s="79">
        <f>MIN('Tax Engine'!C17,2500)</f>
        <v>566.1</v>
      </c>
      <c r="D13" s="79">
        <f>MIN('Tax Engine'!D17,2500)</f>
        <v>566.1</v>
      </c>
      <c r="E13" s="48" t="s">
        <v>547</v>
      </c>
    </row>
    <row r="14" spans="1:5" ht="24" customHeight="1" x14ac:dyDescent="0.25">
      <c r="A14" s="50" t="s">
        <v>548</v>
      </c>
      <c r="B14" s="89">
        <v>0</v>
      </c>
      <c r="C14" s="72">
        <f>MIN(SUMIF(Purchases!E7:E200,"Life Insurance",Purchases!F7:F200),3000)</f>
        <v>180</v>
      </c>
      <c r="D14" s="72">
        <f>MIN(SUMIF(Purchases!E7:E200,"Life Insurance",Purchases!F7:F200),3000)</f>
        <v>180</v>
      </c>
      <c r="E14" s="51" t="s">
        <v>549</v>
      </c>
    </row>
    <row r="15" spans="1:5" ht="24" customHeight="1" x14ac:dyDescent="0.25">
      <c r="A15" s="47" t="s">
        <v>550</v>
      </c>
      <c r="B15" s="90">
        <v>181</v>
      </c>
      <c r="C15" s="79">
        <f>MIN(SUM('Salary Log'!E5:E16)+SUM('Salary Log'!F5:F16),350)</f>
        <v>327.45</v>
      </c>
      <c r="D15" s="79">
        <f>MIN(SUM('Salary Log'!E5:E16)+SUM('Salary Log'!F5:F16),350)</f>
        <v>327.45</v>
      </c>
      <c r="E15" s="48" t="s">
        <v>551</v>
      </c>
    </row>
    <row r="16" spans="1:5" ht="24" customHeight="1" x14ac:dyDescent="0.25">
      <c r="A16" s="50" t="s">
        <v>552</v>
      </c>
      <c r="B16" s="89">
        <v>0</v>
      </c>
      <c r="C16" s="72">
        <v>0</v>
      </c>
      <c r="D16" s="72">
        <v>0</v>
      </c>
      <c r="E16" s="51" t="s">
        <v>553</v>
      </c>
    </row>
    <row r="17" spans="1:5" ht="24" customHeight="1" x14ac:dyDescent="0.25">
      <c r="A17" s="47" t="s">
        <v>226</v>
      </c>
      <c r="B17" s="88">
        <v>0</v>
      </c>
      <c r="C17" s="79">
        <f>MIN(SUMIF(Purchases!E7:E200,"Medical/Dental/Checkup",Purchases!F7:F200),1000)</f>
        <v>0</v>
      </c>
      <c r="D17" s="79">
        <f>MIN(SUMIF(Purchases!E7:E200,"Medical/Dental/Checkup",Purchases!F7:F200),1000)</f>
        <v>0</v>
      </c>
      <c r="E17" s="48" t="s">
        <v>554</v>
      </c>
    </row>
    <row r="18" spans="1:5" ht="24" customHeight="1" x14ac:dyDescent="0.25">
      <c r="A18" s="91" t="s">
        <v>498</v>
      </c>
      <c r="B18" s="92">
        <v>9181</v>
      </c>
      <c r="C18" s="93">
        <f>'Tax Engine'!C23</f>
        <v>9979.35</v>
      </c>
      <c r="D18" s="93">
        <f>'Tax Engine'!D23</f>
        <v>9979.35</v>
      </c>
      <c r="E18" s="77" t="s">
        <v>555</v>
      </c>
    </row>
    <row r="19" spans="1:5" ht="19.5" customHeight="1" x14ac:dyDescent="0.25">
      <c r="A19" s="125" t="s">
        <v>556</v>
      </c>
      <c r="B19" s="101"/>
      <c r="C19" s="101"/>
      <c r="D19" s="101"/>
      <c r="E19" s="101"/>
    </row>
    <row r="20" spans="1:5" ht="24" customHeight="1" x14ac:dyDescent="0.25">
      <c r="A20" s="50" t="s">
        <v>557</v>
      </c>
      <c r="B20" s="85">
        <v>27719</v>
      </c>
      <c r="C20" s="72">
        <f>'Tax Engine'!C25</f>
        <v>35617.200000000004</v>
      </c>
      <c r="D20" s="72">
        <f>'Tax Engine'!D25</f>
        <v>45699.44000000001</v>
      </c>
      <c r="E20" s="51" t="s">
        <v>558</v>
      </c>
    </row>
    <row r="21" spans="1:5" ht="24" customHeight="1" x14ac:dyDescent="0.25">
      <c r="A21" s="47" t="s">
        <v>406</v>
      </c>
      <c r="B21" s="90">
        <v>61.43</v>
      </c>
      <c r="C21" s="79">
        <f>'Tax Engine'!C26</f>
        <v>637.03200000000027</v>
      </c>
      <c r="D21" s="79">
        <f>'Tax Engine'!D26</f>
        <v>1241.9664000000007</v>
      </c>
      <c r="E21" s="48" t="s">
        <v>559</v>
      </c>
    </row>
    <row r="22" spans="1:5" ht="24" customHeight="1" x14ac:dyDescent="0.25">
      <c r="A22" s="50" t="s">
        <v>560</v>
      </c>
      <c r="B22" s="89">
        <v>0</v>
      </c>
      <c r="C22" s="72">
        <f>'PCB Schedule'!F16</f>
        <v>637.03200000000061</v>
      </c>
      <c r="D22" s="72">
        <f>'PCB Schedule'!F16</f>
        <v>637.03200000000061</v>
      </c>
      <c r="E22" s="51" t="s">
        <v>561</v>
      </c>
    </row>
    <row r="23" spans="1:5" ht="24" customHeight="1" x14ac:dyDescent="0.25">
      <c r="A23" s="80" t="s">
        <v>562</v>
      </c>
      <c r="B23" s="94">
        <v>61.43</v>
      </c>
      <c r="C23" s="95">
        <f>IFERROR(MAX(0,'Tax Engine'!C34),0)</f>
        <v>9.582000000000221</v>
      </c>
      <c r="D23" s="95">
        <f>IFERROR(MAX(0,'Tax Engine'!D34),0)</f>
        <v>614.51640000000066</v>
      </c>
      <c r="E23" s="96" t="s">
        <v>563</v>
      </c>
    </row>
    <row r="25" spans="1:5" ht="21.75" customHeight="1" x14ac:dyDescent="0.25">
      <c r="A25" s="134" t="s">
        <v>564</v>
      </c>
      <c r="B25" s="101"/>
      <c r="C25" s="101"/>
      <c r="D25" s="101"/>
      <c r="E25" s="101"/>
    </row>
    <row r="26" spans="1:5" ht="42" customHeight="1" x14ac:dyDescent="0.25">
      <c r="A26" s="75" t="s">
        <v>565</v>
      </c>
      <c r="B26" s="132" t="s">
        <v>566</v>
      </c>
      <c r="C26" s="99"/>
      <c r="D26" s="99"/>
      <c r="E26" s="99"/>
    </row>
    <row r="27" spans="1:5" ht="42" customHeight="1" x14ac:dyDescent="0.25">
      <c r="A27" s="97" t="s">
        <v>567</v>
      </c>
      <c r="B27" s="133" t="s">
        <v>568</v>
      </c>
      <c r="C27" s="99"/>
      <c r="D27" s="99"/>
      <c r="E27" s="99"/>
    </row>
    <row r="28" spans="1:5" ht="42" customHeight="1" x14ac:dyDescent="0.25">
      <c r="A28" s="66" t="s">
        <v>569</v>
      </c>
      <c r="B28" s="135" t="s">
        <v>570</v>
      </c>
      <c r="C28" s="99"/>
      <c r="D28" s="99"/>
      <c r="E28" s="99"/>
    </row>
    <row r="29" spans="1:5" ht="42" customHeight="1" x14ac:dyDescent="0.25">
      <c r="A29" s="75" t="s">
        <v>571</v>
      </c>
      <c r="B29" s="132" t="s">
        <v>572</v>
      </c>
      <c r="C29" s="99"/>
      <c r="D29" s="99"/>
      <c r="E29" s="99"/>
    </row>
  </sheetData>
  <mergeCells count="11">
    <mergeCell ref="B29:E29"/>
    <mergeCell ref="A1:E1"/>
    <mergeCell ref="A5:E5"/>
    <mergeCell ref="B28:E28"/>
    <mergeCell ref="A3:E3"/>
    <mergeCell ref="B26:E26"/>
    <mergeCell ref="B27:E27"/>
    <mergeCell ref="A2:E2"/>
    <mergeCell ref="A25:E25"/>
    <mergeCell ref="A19:E19"/>
    <mergeCell ref="A11:E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Salary Log</vt:lpstr>
      <vt:lpstr>Part-time Log</vt:lpstr>
      <vt:lpstr>Purchases</vt:lpstr>
      <vt:lpstr>File Links</vt:lpstr>
      <vt:lpstr>Tax Engine</vt:lpstr>
      <vt:lpstr>PCB Schedule</vt:lpstr>
      <vt:lpstr>e-Filing Guide (BE)</vt:lpstr>
      <vt:lpstr>My BE Form Values</vt:lpstr>
      <vt:lpstr>2025 vs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Ieskandar Zulqarnain</cp:lastModifiedBy>
  <cp:revision>0</cp:revision>
  <dcterms:created xsi:type="dcterms:W3CDTF">2026-06-12T04:02:46Z</dcterms:created>
  <dcterms:modified xsi:type="dcterms:W3CDTF">2026-06-12T04:35:37Z</dcterms:modified>
  <dc:language>en-US</dc:language>
</cp:coreProperties>
</file>